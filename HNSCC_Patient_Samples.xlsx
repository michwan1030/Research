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d.docs.live.net/2c8b92c0ae5f7ab7/Documentos/"/>
    </mc:Choice>
  </mc:AlternateContent>
  <xr:revisionPtr revIDLastSave="0" documentId="8_{824607EF-6A6B-4424-9D5E-80916491B5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4" sheetId="5" r:id="rId3"/>
    <sheet name="Sheet3" sheetId="3" r:id="rId4"/>
    <sheet name="HIV status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7" i="1" l="1"/>
  <c r="Z56" i="1"/>
  <c r="Z55" i="1"/>
  <c r="Z74" i="1"/>
  <c r="Z73" i="1"/>
  <c r="Z72" i="1"/>
  <c r="Z70" i="1"/>
  <c r="Z69" i="1"/>
  <c r="Z68" i="1"/>
  <c r="Z67" i="1"/>
  <c r="Z66" i="1"/>
  <c r="Z65" i="1"/>
  <c r="Z64" i="1"/>
  <c r="Z63" i="1"/>
  <c r="C4" i="4"/>
  <c r="L10" i="1"/>
  <c r="B6" i="4"/>
  <c r="B5" i="4"/>
  <c r="C2" i="4"/>
  <c r="B3" i="4"/>
  <c r="B2" i="4"/>
  <c r="E13" i="3"/>
  <c r="I2" i="3"/>
  <c r="J25" i="3"/>
  <c r="I25" i="3"/>
  <c r="H25" i="3"/>
  <c r="J24" i="3"/>
  <c r="I24" i="3"/>
  <c r="H24" i="3"/>
  <c r="J23" i="3"/>
  <c r="I23" i="3"/>
  <c r="H23" i="3"/>
  <c r="J22" i="3"/>
  <c r="I22" i="3"/>
  <c r="H22" i="3"/>
  <c r="J21" i="3"/>
  <c r="I21" i="3"/>
  <c r="H21" i="3"/>
  <c r="J20" i="3"/>
  <c r="I20" i="3"/>
  <c r="H20" i="3"/>
  <c r="J19" i="3"/>
  <c r="I19" i="3"/>
  <c r="H19" i="3"/>
  <c r="J18" i="3"/>
  <c r="I18" i="3"/>
  <c r="H18" i="3"/>
  <c r="J17" i="3"/>
  <c r="I17" i="3"/>
  <c r="H17" i="3"/>
  <c r="J16" i="3"/>
  <c r="I16" i="3"/>
  <c r="H16" i="3"/>
  <c r="J15" i="3"/>
  <c r="I15" i="3"/>
  <c r="H15" i="3"/>
  <c r="J14" i="3"/>
  <c r="I14" i="3"/>
  <c r="H14" i="3"/>
  <c r="J13" i="3"/>
  <c r="I13" i="3"/>
  <c r="H13" i="3"/>
  <c r="J12" i="3"/>
  <c r="I12" i="3"/>
  <c r="H12" i="3"/>
  <c r="I9" i="3"/>
  <c r="H9" i="3"/>
  <c r="I8" i="3"/>
  <c r="J5" i="3"/>
  <c r="I5" i="3"/>
  <c r="H5" i="3"/>
  <c r="J4" i="3"/>
  <c r="I4" i="3"/>
  <c r="H4" i="3"/>
  <c r="J3" i="3"/>
  <c r="I3" i="3"/>
  <c r="H3" i="3"/>
  <c r="J2" i="3"/>
  <c r="H2" i="3"/>
  <c r="E18" i="3"/>
  <c r="D18" i="3"/>
  <c r="C18" i="3"/>
  <c r="E17" i="3"/>
  <c r="D17" i="3"/>
  <c r="C17" i="3"/>
  <c r="E16" i="3"/>
  <c r="D16" i="3"/>
  <c r="C16" i="3"/>
  <c r="E15" i="3"/>
  <c r="D15" i="3"/>
  <c r="C15" i="3"/>
  <c r="E14" i="3"/>
  <c r="D14" i="3"/>
  <c r="C14" i="3"/>
  <c r="D13" i="3"/>
  <c r="C13" i="3"/>
  <c r="E12" i="3"/>
  <c r="D12" i="3"/>
  <c r="C12" i="3"/>
  <c r="E11" i="3"/>
  <c r="D11" i="3"/>
  <c r="C11" i="3"/>
  <c r="E10" i="3"/>
  <c r="D10" i="3"/>
  <c r="C10" i="3"/>
  <c r="E9" i="3"/>
  <c r="D9" i="3"/>
  <c r="C9" i="3"/>
  <c r="E8" i="3"/>
  <c r="D8" i="3"/>
  <c r="C8" i="3"/>
  <c r="E7" i="3"/>
  <c r="D7" i="3"/>
  <c r="C7" i="3"/>
  <c r="D6" i="3"/>
  <c r="C6" i="3"/>
  <c r="D5" i="3"/>
  <c r="D4" i="3"/>
  <c r="Y30" i="1"/>
  <c r="X30" i="1"/>
  <c r="W30" i="1"/>
  <c r="Y18" i="1"/>
  <c r="X18" i="1"/>
  <c r="W18" i="1"/>
  <c r="Y31" i="1"/>
  <c r="X31" i="1"/>
  <c r="W31" i="1"/>
  <c r="Y9" i="1"/>
  <c r="X9" i="1"/>
  <c r="W9" i="1"/>
  <c r="Y32" i="1"/>
  <c r="X32" i="1"/>
  <c r="W32" i="1"/>
  <c r="Y4" i="1"/>
  <c r="X4" i="1"/>
  <c r="W4" i="1"/>
  <c r="Y33" i="1"/>
  <c r="X33" i="1"/>
  <c r="W33" i="1"/>
  <c r="Y17" i="1"/>
  <c r="X17" i="1"/>
  <c r="W17" i="1"/>
  <c r="P81" i="1"/>
  <c r="O81" i="1"/>
  <c r="M81" i="1"/>
  <c r="L81" i="1"/>
  <c r="P12" i="1"/>
  <c r="O12" i="1"/>
  <c r="M12" i="1"/>
  <c r="L12" i="1"/>
  <c r="P33" i="1"/>
  <c r="O33" i="1"/>
  <c r="P17" i="1"/>
  <c r="O17" i="1"/>
  <c r="M33" i="1"/>
  <c r="L33" i="1"/>
  <c r="M17" i="1"/>
  <c r="L17" i="1"/>
  <c r="Y12" i="1"/>
  <c r="X12" i="1"/>
  <c r="Z12" i="1" s="1"/>
  <c r="W12" i="1"/>
  <c r="Y82" i="1"/>
  <c r="X82" i="1"/>
  <c r="W82" i="1"/>
  <c r="Y71" i="1"/>
  <c r="X71" i="1"/>
  <c r="W71" i="1"/>
  <c r="Y29" i="1"/>
  <c r="X29" i="1"/>
  <c r="W29" i="1"/>
  <c r="Y11" i="1"/>
  <c r="X11" i="1"/>
  <c r="W11" i="1"/>
  <c r="Y22" i="1"/>
  <c r="X22" i="1"/>
  <c r="W22" i="1"/>
  <c r="Y15" i="1"/>
  <c r="X15" i="1"/>
  <c r="W15" i="1"/>
  <c r="Y34" i="1"/>
  <c r="X34" i="1"/>
  <c r="W34" i="1"/>
  <c r="Y14" i="1"/>
  <c r="X14" i="1"/>
  <c r="W14" i="1"/>
  <c r="P30" i="1"/>
  <c r="O30" i="1"/>
  <c r="P18" i="1"/>
  <c r="O18" i="1"/>
  <c r="L30" i="1"/>
  <c r="M30" i="1"/>
  <c r="M18" i="1"/>
  <c r="L18" i="1"/>
  <c r="P31" i="1"/>
  <c r="O31" i="1"/>
  <c r="M9" i="1"/>
  <c r="L9" i="1"/>
  <c r="P9" i="1"/>
  <c r="O9" i="1"/>
  <c r="M31" i="1"/>
  <c r="L31" i="1"/>
  <c r="P32" i="1"/>
  <c r="O32" i="1"/>
  <c r="P4" i="1"/>
  <c r="O4" i="1"/>
  <c r="M32" i="1"/>
  <c r="L32" i="1"/>
  <c r="M4" i="1"/>
  <c r="L4" i="1"/>
  <c r="N39" i="1"/>
  <c r="Y23" i="1"/>
  <c r="X23" i="1"/>
  <c r="W23" i="1"/>
  <c r="Y83" i="1"/>
  <c r="X83" i="1"/>
  <c r="W83" i="1"/>
  <c r="Y36" i="1"/>
  <c r="X36" i="1"/>
  <c r="W36" i="1"/>
  <c r="Y35" i="1"/>
  <c r="X35" i="1"/>
  <c r="W35" i="1"/>
  <c r="Y16" i="1"/>
  <c r="X16" i="1"/>
  <c r="W16" i="1"/>
  <c r="Y37" i="1"/>
  <c r="X37" i="1"/>
  <c r="W37" i="1"/>
  <c r="Y19" i="1"/>
  <c r="X19" i="1"/>
  <c r="W19" i="1"/>
  <c r="P71" i="1"/>
  <c r="O71" i="1"/>
  <c r="Q71" i="1" s="1"/>
  <c r="M71" i="1"/>
  <c r="L71" i="1"/>
  <c r="P82" i="1"/>
  <c r="O82" i="1"/>
  <c r="M82" i="1"/>
  <c r="L82" i="1"/>
  <c r="N82" i="1" s="1"/>
  <c r="P29" i="1"/>
  <c r="O29" i="1"/>
  <c r="M29" i="1"/>
  <c r="L29" i="1"/>
  <c r="P11" i="1"/>
  <c r="O11" i="1"/>
  <c r="M11" i="1"/>
  <c r="L11" i="1"/>
  <c r="P86" i="1"/>
  <c r="O86" i="1"/>
  <c r="M86" i="1"/>
  <c r="L86" i="1"/>
  <c r="P22" i="1"/>
  <c r="O22" i="1"/>
  <c r="M22" i="1"/>
  <c r="L22" i="1"/>
  <c r="N22" i="1" s="1"/>
  <c r="P15" i="1"/>
  <c r="O15" i="1"/>
  <c r="M15" i="1"/>
  <c r="L15" i="1"/>
  <c r="P34" i="1"/>
  <c r="O34" i="1"/>
  <c r="M34" i="1"/>
  <c r="L34" i="1"/>
  <c r="P23" i="1"/>
  <c r="O23" i="1"/>
  <c r="M23" i="1"/>
  <c r="L23" i="1"/>
  <c r="P83" i="1"/>
  <c r="O83" i="1"/>
  <c r="M83" i="1"/>
  <c r="L83" i="1"/>
  <c r="N83" i="1" s="1"/>
  <c r="P80" i="1"/>
  <c r="O80" i="1"/>
  <c r="M80" i="1"/>
  <c r="L80" i="1"/>
  <c r="Z80" i="1" s="1"/>
  <c r="P36" i="1"/>
  <c r="O36" i="1"/>
  <c r="M36" i="1"/>
  <c r="L36" i="1"/>
  <c r="P35" i="1"/>
  <c r="O35" i="1"/>
  <c r="Q35" i="1" s="1"/>
  <c r="M35" i="1"/>
  <c r="L35" i="1"/>
  <c r="P16" i="1"/>
  <c r="O16" i="1"/>
  <c r="M16" i="1"/>
  <c r="L16" i="1"/>
  <c r="Q39" i="1"/>
  <c r="P37" i="1"/>
  <c r="O37" i="1"/>
  <c r="P19" i="1"/>
  <c r="O19" i="1"/>
  <c r="Q19" i="1" s="1"/>
  <c r="M37" i="1"/>
  <c r="L37" i="1"/>
  <c r="M19" i="1"/>
  <c r="L19" i="1"/>
  <c r="Y20" i="1"/>
  <c r="X20" i="1"/>
  <c r="W20" i="1"/>
  <c r="Y38" i="1"/>
  <c r="X38" i="1"/>
  <c r="W38" i="1"/>
  <c r="X39" i="1"/>
  <c r="Z39" i="1" s="1"/>
  <c r="Y40" i="1"/>
  <c r="X40" i="1"/>
  <c r="W40" i="1"/>
  <c r="Y39" i="1"/>
  <c r="W39" i="1"/>
  <c r="Y41" i="1"/>
  <c r="X41" i="1"/>
  <c r="W41" i="1"/>
  <c r="Y13" i="1"/>
  <c r="X13" i="1"/>
  <c r="W13" i="1"/>
  <c r="P20" i="1"/>
  <c r="O20" i="1"/>
  <c r="M20" i="1"/>
  <c r="L20" i="1"/>
  <c r="O38" i="1"/>
  <c r="P38" i="1"/>
  <c r="M38" i="1"/>
  <c r="L38" i="1"/>
  <c r="M42" i="1"/>
  <c r="L42" i="1"/>
  <c r="P14" i="1"/>
  <c r="P40" i="1"/>
  <c r="O14" i="1"/>
  <c r="O40" i="1"/>
  <c r="M14" i="1"/>
  <c r="L14" i="1"/>
  <c r="M40" i="1"/>
  <c r="L40" i="1"/>
  <c r="P42" i="1"/>
  <c r="O42" i="1"/>
  <c r="Q42" i="1" s="1"/>
  <c r="O21" i="1"/>
  <c r="P21" i="1"/>
  <c r="M21" i="1"/>
  <c r="L21" i="1"/>
  <c r="P41" i="1"/>
  <c r="O41" i="1"/>
  <c r="P13" i="1"/>
  <c r="O13" i="1"/>
  <c r="M41" i="1"/>
  <c r="M13" i="1"/>
  <c r="L41" i="1"/>
  <c r="L13" i="1"/>
  <c r="P58" i="1"/>
  <c r="O58" i="1"/>
  <c r="M58" i="1"/>
  <c r="L58" i="1"/>
  <c r="N58" i="1" s="1"/>
  <c r="P84" i="1"/>
  <c r="O84" i="1"/>
  <c r="M84" i="1"/>
  <c r="L84" i="1"/>
  <c r="W42" i="1"/>
  <c r="X58" i="1"/>
  <c r="W58" i="1"/>
  <c r="X84" i="1"/>
  <c r="W84" i="1"/>
  <c r="Y21" i="1"/>
  <c r="X21" i="1"/>
  <c r="W21" i="1"/>
  <c r="X42" i="1"/>
  <c r="Z42" i="1" s="1"/>
  <c r="X8" i="1"/>
  <c r="X43" i="1"/>
  <c r="X7" i="1"/>
  <c r="X44" i="1"/>
  <c r="Y59" i="1"/>
  <c r="X59" i="1"/>
  <c r="W59" i="1"/>
  <c r="W7" i="1"/>
  <c r="P7" i="1"/>
  <c r="O7" i="1"/>
  <c r="M7" i="1"/>
  <c r="L7" i="1"/>
  <c r="P28" i="1"/>
  <c r="O28" i="1"/>
  <c r="M28" i="1"/>
  <c r="L28" i="1"/>
  <c r="Z28" i="1" s="1"/>
  <c r="P44" i="1"/>
  <c r="O44" i="1"/>
  <c r="M44" i="1"/>
  <c r="L44" i="1"/>
  <c r="P43" i="1"/>
  <c r="O43" i="1"/>
  <c r="M43" i="1"/>
  <c r="L43" i="1"/>
  <c r="Q55" i="1"/>
  <c r="Q56" i="1"/>
  <c r="Q57" i="1"/>
  <c r="P27" i="1"/>
  <c r="O27" i="1"/>
  <c r="N55" i="1"/>
  <c r="N56" i="1"/>
  <c r="N57" i="1"/>
  <c r="M27" i="1"/>
  <c r="L27" i="1"/>
  <c r="Z27" i="1" s="1"/>
  <c r="P62" i="1"/>
  <c r="O62" i="1"/>
  <c r="P61" i="1"/>
  <c r="O61" i="1"/>
  <c r="P60" i="1"/>
  <c r="O60" i="1"/>
  <c r="M62" i="1"/>
  <c r="L62" i="1"/>
  <c r="Z62" i="1" s="1"/>
  <c r="M61" i="1"/>
  <c r="L61" i="1"/>
  <c r="Z61" i="1" s="1"/>
  <c r="M60" i="1"/>
  <c r="L60" i="1"/>
  <c r="Z60" i="1" s="1"/>
  <c r="P75" i="1"/>
  <c r="O75" i="1"/>
  <c r="M75" i="1"/>
  <c r="M76" i="1"/>
  <c r="L75" i="1"/>
  <c r="L76" i="1"/>
  <c r="Q64" i="1"/>
  <c r="Q65" i="1"/>
  <c r="Q66" i="1"/>
  <c r="Q67" i="1"/>
  <c r="Q68" i="1"/>
  <c r="Q69" i="1"/>
  <c r="Q70" i="1"/>
  <c r="Q63" i="1"/>
  <c r="P8" i="1"/>
  <c r="O8" i="1"/>
  <c r="Q8" i="1" s="1"/>
  <c r="P45" i="1"/>
  <c r="O45" i="1"/>
  <c r="N64" i="1"/>
  <c r="N65" i="1"/>
  <c r="N66" i="1"/>
  <c r="N67" i="1"/>
  <c r="N68" i="1"/>
  <c r="N69" i="1"/>
  <c r="N70" i="1"/>
  <c r="N63" i="1"/>
  <c r="M45" i="1"/>
  <c r="L45" i="1"/>
  <c r="Z45" i="1" s="1"/>
  <c r="M8" i="1"/>
  <c r="L8" i="1"/>
  <c r="M85" i="1"/>
  <c r="L85" i="1"/>
  <c r="O85" i="1"/>
  <c r="Q85" i="1" s="1"/>
  <c r="O26" i="1"/>
  <c r="Q26" i="1" s="1"/>
  <c r="O25" i="1"/>
  <c r="Q25" i="1" s="1"/>
  <c r="O46" i="1"/>
  <c r="Q46" i="1" s="1"/>
  <c r="M26" i="1"/>
  <c r="M25" i="1"/>
  <c r="M46" i="1"/>
  <c r="L26" i="1"/>
  <c r="Z26" i="1" s="1"/>
  <c r="L25" i="1"/>
  <c r="Z25" i="1" s="1"/>
  <c r="L46" i="1"/>
  <c r="Z46" i="1" s="1"/>
  <c r="P59" i="1"/>
  <c r="O59" i="1"/>
  <c r="L59" i="1"/>
  <c r="N59" i="1" s="1"/>
  <c r="Y5" i="1"/>
  <c r="X5" i="1"/>
  <c r="W5" i="1"/>
  <c r="Y10" i="1"/>
  <c r="X10" i="1"/>
  <c r="W10" i="1"/>
  <c r="Y24" i="1"/>
  <c r="X24" i="1"/>
  <c r="W24" i="1"/>
  <c r="Y6" i="1"/>
  <c r="X6" i="1"/>
  <c r="W6" i="1"/>
  <c r="Q87" i="1"/>
  <c r="N87" i="1"/>
  <c r="P77" i="1"/>
  <c r="O77" i="1"/>
  <c r="M77" i="1"/>
  <c r="L77" i="1"/>
  <c r="P24" i="1"/>
  <c r="O24" i="1"/>
  <c r="M24" i="1"/>
  <c r="L24" i="1"/>
  <c r="P5" i="1"/>
  <c r="O5" i="1"/>
  <c r="Q5" i="1" s="1"/>
  <c r="M5" i="1"/>
  <c r="L5" i="1"/>
  <c r="P10" i="1"/>
  <c r="O10" i="1"/>
  <c r="M10" i="1"/>
  <c r="P79" i="1"/>
  <c r="O79" i="1"/>
  <c r="M79" i="1"/>
  <c r="L79" i="1"/>
  <c r="P78" i="1"/>
  <c r="O78" i="1"/>
  <c r="M78" i="1"/>
  <c r="L78" i="1"/>
  <c r="P6" i="1"/>
  <c r="O6" i="1"/>
  <c r="M6" i="1"/>
  <c r="L6" i="1"/>
  <c r="Q45" i="1" l="1"/>
  <c r="Z21" i="1"/>
  <c r="Z10" i="1"/>
  <c r="Q15" i="1"/>
  <c r="Z6" i="1"/>
  <c r="Z24" i="1"/>
  <c r="Z5" i="1"/>
  <c r="Z44" i="1"/>
  <c r="Z7" i="1"/>
  <c r="Z43" i="1"/>
  <c r="Z8" i="1"/>
  <c r="Z13" i="1"/>
  <c r="Z41" i="1"/>
  <c r="Z40" i="1"/>
  <c r="Z38" i="1"/>
  <c r="Z20" i="1"/>
  <c r="Z19" i="1"/>
  <c r="Z37" i="1"/>
  <c r="Z16" i="1"/>
  <c r="Z35" i="1"/>
  <c r="Z36" i="1"/>
  <c r="Z23" i="1"/>
  <c r="Z14" i="1"/>
  <c r="Z34" i="1"/>
  <c r="Z15" i="1"/>
  <c r="Z22" i="1"/>
  <c r="Z11" i="1"/>
  <c r="Z29" i="1"/>
  <c r="Z17" i="1"/>
  <c r="Z33" i="1"/>
  <c r="Z4" i="1"/>
  <c r="Z32" i="1"/>
  <c r="Z9" i="1"/>
  <c r="Z31" i="1"/>
  <c r="Z18" i="1"/>
  <c r="Z30" i="1"/>
  <c r="N29" i="1"/>
  <c r="Q6" i="1"/>
  <c r="Q82" i="1"/>
  <c r="N11" i="1"/>
  <c r="N13" i="1"/>
  <c r="N71" i="1"/>
  <c r="Q36" i="1"/>
  <c r="Q34" i="1"/>
  <c r="Q38" i="1"/>
  <c r="Q83" i="1"/>
  <c r="Q7" i="1"/>
  <c r="N84" i="1"/>
  <c r="N21" i="1"/>
  <c r="N38" i="1"/>
  <c r="N15" i="1"/>
  <c r="Q37" i="1"/>
  <c r="Q29" i="1"/>
  <c r="Q16" i="1"/>
  <c r="N16" i="1"/>
  <c r="Q62" i="1"/>
  <c r="Q43" i="1"/>
  <c r="N37" i="1"/>
  <c r="N42" i="1"/>
  <c r="Q44" i="1"/>
  <c r="Q58" i="1"/>
  <c r="N40" i="1"/>
  <c r="Q21" i="1"/>
  <c r="N34" i="1"/>
  <c r="Q78" i="1"/>
  <c r="N36" i="1"/>
  <c r="Q23" i="1"/>
  <c r="Q14" i="1"/>
  <c r="Q13" i="1"/>
  <c r="N19" i="1"/>
  <c r="Q60" i="1"/>
  <c r="Q22" i="1"/>
  <c r="N23" i="1"/>
  <c r="N61" i="1"/>
  <c r="Q27" i="1"/>
  <c r="N14" i="1"/>
  <c r="N41" i="1"/>
  <c r="Q40" i="1"/>
  <c r="Q61" i="1"/>
  <c r="Q41" i="1"/>
  <c r="Q11" i="1"/>
  <c r="N24" i="1"/>
  <c r="N75" i="1"/>
  <c r="N27" i="1"/>
  <c r="N60" i="1"/>
  <c r="Q77" i="1"/>
  <c r="Q86" i="1"/>
  <c r="N86" i="1"/>
  <c r="Q80" i="1"/>
  <c r="N80" i="1"/>
  <c r="N35" i="1"/>
  <c r="Q20" i="1"/>
  <c r="N20" i="1"/>
  <c r="N44" i="1"/>
  <c r="N62" i="1"/>
  <c r="N8" i="1"/>
  <c r="Q84" i="1"/>
  <c r="N7" i="1"/>
  <c r="N43" i="1"/>
  <c r="N45" i="1"/>
  <c r="Q75" i="1"/>
  <c r="Q28" i="1"/>
  <c r="N28" i="1"/>
  <c r="N25" i="1"/>
  <c r="N76" i="1"/>
  <c r="Q59" i="1"/>
  <c r="N26" i="1"/>
  <c r="N79" i="1"/>
  <c r="N5" i="1"/>
  <c r="Q24" i="1"/>
  <c r="N10" i="1"/>
  <c r="N77" i="1"/>
  <c r="Q79" i="1"/>
  <c r="N6" i="1"/>
  <c r="Q10" i="1"/>
  <c r="N78" i="1"/>
  <c r="N85" i="1"/>
  <c r="N46" i="1"/>
</calcChain>
</file>

<file path=xl/sharedStrings.xml><?xml version="1.0" encoding="utf-8"?>
<sst xmlns="http://schemas.openxmlformats.org/spreadsheetml/2006/main" count="1094" uniqueCount="298">
  <si>
    <t>Of Total</t>
  </si>
  <si>
    <t>Of neutrophils</t>
  </si>
  <si>
    <t>Count/ml</t>
  </si>
  <si>
    <t>QC</t>
  </si>
  <si>
    <t>Patient ID</t>
  </si>
  <si>
    <t>Source</t>
  </si>
  <si>
    <t>Diagnosis</t>
  </si>
  <si>
    <t>Ship Date</t>
  </si>
  <si>
    <t>Ship/Draw Time (CST)</t>
  </si>
  <si>
    <t>Staining Date</t>
  </si>
  <si>
    <t>Staining Time (PST)</t>
  </si>
  <si>
    <t>Total Volume (ml)</t>
  </si>
  <si>
    <t>Volume for Staining</t>
  </si>
  <si>
    <t>Volume to PBMCs/plasama</t>
  </si>
  <si>
    <t>Staining Cell Count, Live</t>
  </si>
  <si>
    <t xml:space="preserve">Staining Cell Count, dead </t>
  </si>
  <si>
    <t>Staining Cells, Viability</t>
  </si>
  <si>
    <t>PBMCs/Plasma cell count, live</t>
  </si>
  <si>
    <t>PBMCs/Plasama, cell count dead</t>
  </si>
  <si>
    <t>PBMCS/Plasma, viability</t>
  </si>
  <si>
    <t>Plasma vials (100ul)</t>
  </si>
  <si>
    <t>Plasma vials, other</t>
  </si>
  <si>
    <t>PBMCs, 10 million cells</t>
  </si>
  <si>
    <t>PBMCs, other</t>
  </si>
  <si>
    <t>Notes</t>
  </si>
  <si>
    <t>% Neutrophils</t>
  </si>
  <si>
    <t>% CD79b+ Neutrophils</t>
  </si>
  <si>
    <t>CD79b+ neutrophils</t>
  </si>
  <si>
    <t>Age</t>
  </si>
  <si>
    <t>Sex</t>
  </si>
  <si>
    <t>Race</t>
  </si>
  <si>
    <t>Ethnicity</t>
  </si>
  <si>
    <t>Diagnosis (as listed in KUMC excel)</t>
  </si>
  <si>
    <t xml:space="preserve">Final Diagnosis </t>
  </si>
  <si>
    <t>Location</t>
  </si>
  <si>
    <t>Metastisis</t>
  </si>
  <si>
    <t>HPV status</t>
  </si>
  <si>
    <t>staging</t>
  </si>
  <si>
    <t>lymph node stage</t>
  </si>
  <si>
    <t xml:space="preserve">Calculated Stage </t>
  </si>
  <si>
    <t xml:space="preserve">Head and Neck Squamous Cell Carcinoma </t>
  </si>
  <si>
    <t>Blue-do we have this info?</t>
  </si>
  <si>
    <t>Yellow-ask for from KUMC</t>
  </si>
  <si>
    <t>Orange-Ok sample, consider excluding</t>
  </si>
  <si>
    <t>Red-Bad/not received sample</t>
  </si>
  <si>
    <t>Not available</t>
  </si>
  <si>
    <t>https://www.cancer.org/cancer/types/oral-cavity-and-oropharyngeal-cancer/detection-diagnosis-staging/staging.html</t>
  </si>
  <si>
    <t>KUMC</t>
  </si>
  <si>
    <t>HNSCC</t>
  </si>
  <si>
    <t>6:43am</t>
  </si>
  <si>
    <t>Male</t>
  </si>
  <si>
    <t>White</t>
  </si>
  <si>
    <t>Not Hispanic or Latino</t>
  </si>
  <si>
    <t>Squamous cell carcinoma, conventional (keratinizing)</t>
  </si>
  <si>
    <t>Squamous cell carcinoma</t>
  </si>
  <si>
    <t>Tongue</t>
  </si>
  <si>
    <t>N/A</t>
  </si>
  <si>
    <t>pT4aN0</t>
  </si>
  <si>
    <t>negative</t>
  </si>
  <si>
    <t>6:42am</t>
  </si>
  <si>
    <t>2:55pm</t>
  </si>
  <si>
    <t>1 x 7 million cells</t>
  </si>
  <si>
    <t>Female</t>
  </si>
  <si>
    <t>Squamous cell carcinoma, well-to moderately differentiated &amp; keratinizing of the tongue/oral cavity</t>
  </si>
  <si>
    <t>Tongue/oral cavity, Pharynx</t>
  </si>
  <si>
    <t xml:space="preserve">negative </t>
  </si>
  <si>
    <t>pT4a N0 M (N/A)</t>
  </si>
  <si>
    <t>6:30am</t>
  </si>
  <si>
    <t>11:55am</t>
  </si>
  <si>
    <t>1 x 5 million cells</t>
  </si>
  <si>
    <t>HPV-mediated squamous cell carcinoma of the right tonsil</t>
  </si>
  <si>
    <t>HPV mediated squamous cell carcinoma</t>
  </si>
  <si>
    <t>Tonsil</t>
  </si>
  <si>
    <t>Positive</t>
  </si>
  <si>
    <t>Good</t>
  </si>
  <si>
    <t>7:40am</t>
  </si>
  <si>
    <t>12:15pm</t>
  </si>
  <si>
    <t>1 x 4 million cells</t>
  </si>
  <si>
    <t>Squamous cell carcinoma, keratinizing, moderately differentiated of the left dorsal and ventral tongue</t>
  </si>
  <si>
    <t>tongue</t>
  </si>
  <si>
    <t>pT1pN0</t>
  </si>
  <si>
    <t>7:13am</t>
  </si>
  <si>
    <t>10:20am</t>
  </si>
  <si>
    <t>3 x 39 million cells per vial</t>
  </si>
  <si>
    <t xml:space="preserve"> Invasive, moderately differentiated keratinizing squamous cell carcinoma of the right lower lip</t>
  </si>
  <si>
    <t>Lip</t>
  </si>
  <si>
    <t>6:28am</t>
  </si>
  <si>
    <t>2:00pm</t>
  </si>
  <si>
    <t>Oral mucosa, tongue</t>
  </si>
  <si>
    <t>pT4aN3b</t>
  </si>
  <si>
    <t>positive</t>
  </si>
  <si>
    <t>9:48am</t>
  </si>
  <si>
    <t>10:45am</t>
  </si>
  <si>
    <t>1 x 9 million cells</t>
  </si>
  <si>
    <t>invasive squamous cell carcinoma, well to moderately differentiated and keratinizing of the left side of tongue</t>
  </si>
  <si>
    <t xml:space="preserve">Invasive squamous cell carcinoma </t>
  </si>
  <si>
    <t xml:space="preserve">Tongue </t>
  </si>
  <si>
    <t>7:25am</t>
  </si>
  <si>
    <t>11:00am</t>
  </si>
  <si>
    <t>1 with all</t>
  </si>
  <si>
    <t>Squamous cell carcinoma, keratinizing, with poorly differentiated infiltrating component</t>
  </si>
  <si>
    <t>Squamous cell carcinoma of the oral cavity</t>
  </si>
  <si>
    <t>6:24am</t>
  </si>
  <si>
    <t>12:00pm</t>
  </si>
  <si>
    <t>Squamous cell carcinoma, moderately differentiated &amp; keratinizing</t>
  </si>
  <si>
    <t>6:14am</t>
  </si>
  <si>
    <t>Moderately differentiated squamous cell carcinoma of the gingival mucosa, on buccal and lingual side of teeth, with limited buccal involvement</t>
  </si>
  <si>
    <t>gingival mucosa</t>
  </si>
  <si>
    <t>pT2pN0</t>
  </si>
  <si>
    <t>8:30am</t>
  </si>
  <si>
    <t>10:00am</t>
  </si>
  <si>
    <t>3 with all</t>
  </si>
  <si>
    <t>Squamous cell carcinoma, invasive, keratinizing, moderately differentiated of the left oral tongue</t>
  </si>
  <si>
    <t>6:38am</t>
  </si>
  <si>
    <t>Human papillomavirus (HPV)-associated squamous cell carcinoma</t>
  </si>
  <si>
    <t xml:space="preserve">postive </t>
  </si>
  <si>
    <t>pT2pN2</t>
  </si>
  <si>
    <t>postitive</t>
  </si>
  <si>
    <t>6:58am</t>
  </si>
  <si>
    <t>1:30pm</t>
  </si>
  <si>
    <t xml:space="preserve"> Squamous cell carcinoma</t>
  </si>
  <si>
    <t>Neck, Oral cavity</t>
  </si>
  <si>
    <t>pT2pN1</t>
  </si>
  <si>
    <t>6:39am</t>
  </si>
  <si>
    <t>12:30pm</t>
  </si>
  <si>
    <t xml:space="preserve">Squamous cell carcinoma </t>
  </si>
  <si>
    <t>Mandible bone</t>
  </si>
  <si>
    <t>7:00am</t>
  </si>
  <si>
    <t>10:30am</t>
  </si>
  <si>
    <t>pT3N0</t>
  </si>
  <si>
    <t>negative*</t>
  </si>
  <si>
    <t>Notes papilary thyroid cancer in lymph node?</t>
  </si>
  <si>
    <t>10:44am</t>
  </si>
  <si>
    <t>11:25am</t>
  </si>
  <si>
    <t xml:space="preserve"> Tongue squamous cell carcinoma</t>
  </si>
  <si>
    <t>6:52am</t>
  </si>
  <si>
    <t>HPV mediated squamous cell carcinoma of the oropharynx and right tonsil</t>
  </si>
  <si>
    <t>oropharynx, tonsil</t>
  </si>
  <si>
    <t>Hispanic or Latino</t>
  </si>
  <si>
    <t>Squamous cell carcinoma, moderate to poorly differentiated of the oral cavity and left lateral border of tongue</t>
  </si>
  <si>
    <t>pT4apN0</t>
  </si>
  <si>
    <t>6:54am</t>
  </si>
  <si>
    <t>Squamous cell carcinoma, moderately differentiated</t>
  </si>
  <si>
    <t>Gum</t>
  </si>
  <si>
    <t>9:20am</t>
  </si>
  <si>
    <t>1:15pm</t>
  </si>
  <si>
    <t>Invasive, moderately differentiated keratinizing squamous cell carcinoma</t>
  </si>
  <si>
    <t>Oral cavity</t>
  </si>
  <si>
    <t>11:14am</t>
  </si>
  <si>
    <t>2:44pm</t>
  </si>
  <si>
    <t>Human papillomavirus (HPV)-mediated squamous cell carcinoma of the right tonsil</t>
  </si>
  <si>
    <t>Tonsil, oropharynx, lymph node</t>
  </si>
  <si>
    <t>PT1 pN1 ENE (+)</t>
  </si>
  <si>
    <t>6:18am</t>
  </si>
  <si>
    <t>Oropharyngeal squamous cell carcinoma, HPV associated of the right tonsil</t>
  </si>
  <si>
    <t>Oropharyngeal Squamous cell carcinoma</t>
  </si>
  <si>
    <t>pT1</t>
  </si>
  <si>
    <t>8:27am</t>
  </si>
  <si>
    <t>Squamous cell carcinoma, keratinizing, moderately differentiated of the base of the tongue</t>
  </si>
  <si>
    <t>6:45am</t>
  </si>
  <si>
    <t>1:00pm</t>
  </si>
  <si>
    <t>1x 7 million cells</t>
  </si>
  <si>
    <t xml:space="preserve"> Human papillomavirus / HPV-mediated squamous cell carcinoma of the right oropharynx</t>
  </si>
  <si>
    <t>oropharynx</t>
  </si>
  <si>
    <t>Invasive moderately to poorly differentiated squamous cell carcinoma of the right tongue</t>
  </si>
  <si>
    <t>pT4apN3b</t>
  </si>
  <si>
    <t>Healthy</t>
  </si>
  <si>
    <t>Black or African American</t>
  </si>
  <si>
    <t>?</t>
  </si>
  <si>
    <t>7:30am</t>
  </si>
  <si>
    <t>None</t>
  </si>
  <si>
    <t>10:55am</t>
  </si>
  <si>
    <t>9:45am</t>
  </si>
  <si>
    <t>8:55am</t>
  </si>
  <si>
    <t>1:39pm</t>
  </si>
  <si>
    <t>10:35am</t>
  </si>
  <si>
    <t>9:06am</t>
  </si>
  <si>
    <t>011536_V08-1</t>
  </si>
  <si>
    <t>14:28am</t>
  </si>
  <si>
    <t>9:54am</t>
  </si>
  <si>
    <t>2 with all</t>
  </si>
  <si>
    <t>7:35am</t>
  </si>
  <si>
    <t>1:50pm</t>
  </si>
  <si>
    <t>6:33am</t>
  </si>
  <si>
    <t>Other</t>
  </si>
  <si>
    <t>6:47am</t>
  </si>
  <si>
    <t>8:45am</t>
  </si>
  <si>
    <t>8:15am</t>
  </si>
  <si>
    <t>12:17pm</t>
  </si>
  <si>
    <t>Not received</t>
  </si>
  <si>
    <t>12:42pm</t>
  </si>
  <si>
    <t>Not used-arrived late</t>
  </si>
  <si>
    <t>11:32am</t>
  </si>
  <si>
    <t>Ok</t>
  </si>
  <si>
    <t>10</t>
  </si>
  <si>
    <t>Low count, low neutrophil %</t>
  </si>
  <si>
    <t>Human papilloma virus (HPV)-mediated squamous cell carcinoma of the left base of the tongue</t>
  </si>
  <si>
    <t>9:17am</t>
  </si>
  <si>
    <t>8.7</t>
  </si>
  <si>
    <t>3 x 5 million cells</t>
  </si>
  <si>
    <t>Limited CD203c added to cocktail</t>
  </si>
  <si>
    <t>Squamous call carcinoma of the oropharynx</t>
  </si>
  <si>
    <t>Neck</t>
  </si>
  <si>
    <t>Bad</t>
  </si>
  <si>
    <t>2.9</t>
  </si>
  <si>
    <t>RBC lysis not good</t>
  </si>
  <si>
    <t>7:49am</t>
  </si>
  <si>
    <t>9.1</t>
  </si>
  <si>
    <t>3.96 %</t>
  </si>
  <si>
    <t>0.11 %</t>
  </si>
  <si>
    <t>2.70 %</t>
  </si>
  <si>
    <t>8:31am</t>
  </si>
  <si>
    <t>9.8</t>
  </si>
  <si>
    <t>9:52am</t>
  </si>
  <si>
    <t>10:50am</t>
  </si>
  <si>
    <t xml:space="preserve">8:40am </t>
  </si>
  <si>
    <t>8:05am</t>
  </si>
  <si>
    <t>8:50am</t>
  </si>
  <si>
    <t>614408 (2)</t>
  </si>
  <si>
    <t>Not used-arrived late, direct copy of above?</t>
  </si>
  <si>
    <t>6:06am</t>
  </si>
  <si>
    <t>11:20am</t>
  </si>
  <si>
    <t>11:52am</t>
  </si>
  <si>
    <t>Very low neutrophil percentage</t>
  </si>
  <si>
    <t>5</t>
  </si>
  <si>
    <t>Invasive moderately differentiated squamous cell carcinoma, invading underlying bone</t>
  </si>
  <si>
    <t>pT4apN2a</t>
  </si>
  <si>
    <t>7:29am</t>
  </si>
  <si>
    <t>6:23am</t>
  </si>
  <si>
    <t>pm</t>
  </si>
  <si>
    <t>9:46am</t>
  </si>
  <si>
    <t>2:10pm</t>
  </si>
  <si>
    <t>9</t>
  </si>
  <si>
    <t>4 x 22 million cell</t>
  </si>
  <si>
    <t>70.9 %</t>
  </si>
  <si>
    <t>21.5 %</t>
  </si>
  <si>
    <t>30.3 %</t>
  </si>
  <si>
    <t>Invasive, moderately differentiated keratinizing squamous cell carcinoma of the epiglottis</t>
  </si>
  <si>
    <t>epiglottis</t>
  </si>
  <si>
    <t>pT3</t>
  </si>
  <si>
    <t>10:10am</t>
  </si>
  <si>
    <t>No PBMC/plasma collected</t>
  </si>
  <si>
    <t>26.4 %</t>
  </si>
  <si>
    <t>4.40 %</t>
  </si>
  <si>
    <t>16.7 %</t>
  </si>
  <si>
    <t xml:space="preserve"> Invasive squamous cell carcinoma of the right tongue and floor of mouth</t>
  </si>
  <si>
    <t>Tongue, floor of mouth</t>
  </si>
  <si>
    <t>pT3pN0</t>
  </si>
  <si>
    <t>Missing flow file</t>
  </si>
  <si>
    <t>7:02am</t>
  </si>
  <si>
    <t>4.9</t>
  </si>
  <si>
    <t>1 x 4.5 million cells</t>
  </si>
  <si>
    <t>Squamous cell carcinoma, moderately differentiated &amp; keratinizing of the left tongue and floor of mouth</t>
  </si>
  <si>
    <t>pT2</t>
  </si>
  <si>
    <t>6.5</t>
  </si>
  <si>
    <t>1 x 2 million cells</t>
  </si>
  <si>
    <t>Squamous cell carcinoma, moderately to poorly differentiated &amp; keratinizing of the larynx</t>
  </si>
  <si>
    <t>4:00pm</t>
  </si>
  <si>
    <t>4.7</t>
  </si>
  <si>
    <t>Invasive squamous cell carcinoma, keratinizing, moderately differentiated of the right tongue and floor of mouth</t>
  </si>
  <si>
    <t>6:32am</t>
  </si>
  <si>
    <t>Not HNSCC</t>
  </si>
  <si>
    <t>4</t>
  </si>
  <si>
    <t>Benign stromal and glandular hyperplasia</t>
  </si>
  <si>
    <t>Low neutrophil percentage</t>
  </si>
  <si>
    <t>7:59am</t>
  </si>
  <si>
    <t>7:20am</t>
  </si>
  <si>
    <t>Lots of doublets</t>
  </si>
  <si>
    <t>1:33pm</t>
  </si>
  <si>
    <t>62.6 %</t>
  </si>
  <si>
    <t>0.27 %</t>
  </si>
  <si>
    <t>0.44 %</t>
  </si>
  <si>
    <t>11:05am</t>
  </si>
  <si>
    <t>Gastric hyperplastic polyp</t>
  </si>
  <si>
    <t>Arrived Late</t>
  </si>
  <si>
    <t>cancer</t>
  </si>
  <si>
    <t>26.9 %</t>
  </si>
  <si>
    <t>1.32 %</t>
  </si>
  <si>
    <t>HNC</t>
  </si>
  <si>
    <t>33.4 %</t>
  </si>
  <si>
    <t>0.38 %</t>
  </si>
  <si>
    <t>1.13 %</t>
  </si>
  <si>
    <t>61.2 %</t>
  </si>
  <si>
    <t>57.7 %</t>
  </si>
  <si>
    <t>46.5 %</t>
  </si>
  <si>
    <t>1.84 %</t>
  </si>
  <si>
    <t>3.97 %</t>
  </si>
  <si>
    <t>66.2 %</t>
  </si>
  <si>
    <t>0.72 %</t>
  </si>
  <si>
    <t>1.09 %</t>
  </si>
  <si>
    <t>35.8 %</t>
  </si>
  <si>
    <t>7.49 %</t>
  </si>
  <si>
    <t>0.69 %</t>
  </si>
  <si>
    <t>9.18 %</t>
  </si>
  <si>
    <t>20.9 %</t>
  </si>
  <si>
    <t>0.91 %</t>
  </si>
  <si>
    <t>4.37 %</t>
  </si>
  <si>
    <t xml:space="preserve">positive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</si>
</sst>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3" fillId="0" borderId="0"/>
    <xf numFmtId="0" fontId="2" fillId="0" borderId="0"/>
    <xf numFmtId="0" fontId="1" fillId="0" borderId="0"/>
  </cellStyleXfs>
  <cellXfs count="47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49" fontId="5" fillId="0" borderId="0" xfId="0" applyNumberFormat="1" applyFont="1" applyAlignment="1">
      <alignment wrapText="1"/>
    </xf>
    <xf numFmtId="14" fontId="5" fillId="0" borderId="0" xfId="0" applyNumberFormat="1" applyFont="1" applyAlignment="1">
      <alignment wrapText="1"/>
    </xf>
    <xf numFmtId="0" fontId="6" fillId="2" borderId="0" xfId="0" applyFont="1" applyFill="1" applyAlignment="1">
      <alignment wrapText="1"/>
    </xf>
    <xf numFmtId="14" fontId="0" fillId="0" borderId="0" xfId="0" applyNumberFormat="1" applyAlignment="1">
      <alignment wrapText="1"/>
    </xf>
    <xf numFmtId="0" fontId="0" fillId="5" borderId="0" xfId="0" applyFill="1" applyAlignment="1">
      <alignment wrapText="1"/>
    </xf>
    <xf numFmtId="0" fontId="0" fillId="4" borderId="0" xfId="0" applyFill="1" applyAlignment="1">
      <alignment wrapText="1"/>
    </xf>
    <xf numFmtId="14" fontId="0" fillId="4" borderId="0" xfId="0" applyNumberFormat="1" applyFill="1" applyAlignment="1">
      <alignment wrapText="1"/>
    </xf>
    <xf numFmtId="49" fontId="5" fillId="4" borderId="0" xfId="0" applyNumberFormat="1" applyFont="1" applyFill="1" applyAlignment="1">
      <alignment wrapText="1"/>
    </xf>
    <xf numFmtId="0" fontId="4" fillId="4" borderId="0" xfId="0" applyFont="1" applyFill="1" applyAlignment="1">
      <alignment wrapText="1"/>
    </xf>
    <xf numFmtId="0" fontId="0" fillId="3" borderId="0" xfId="0" applyFill="1" applyAlignment="1">
      <alignment wrapText="1"/>
    </xf>
    <xf numFmtId="14" fontId="0" fillId="3" borderId="0" xfId="0" applyNumberFormat="1" applyFill="1" applyAlignment="1">
      <alignment wrapText="1"/>
    </xf>
    <xf numFmtId="49" fontId="5" fillId="3" borderId="0" xfId="0" applyNumberFormat="1" applyFont="1" applyFill="1" applyAlignment="1">
      <alignment wrapText="1"/>
    </xf>
    <xf numFmtId="0" fontId="4" fillId="3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49" fontId="5" fillId="2" borderId="0" xfId="0" applyNumberFormat="1" applyFont="1" applyFill="1" applyAlignment="1">
      <alignment wrapText="1"/>
    </xf>
    <xf numFmtId="20" fontId="4" fillId="0" borderId="0" xfId="0" applyNumberFormat="1" applyFont="1" applyAlignment="1">
      <alignment wrapText="1"/>
    </xf>
    <xf numFmtId="0" fontId="0" fillId="6" borderId="0" xfId="0" applyFill="1" applyAlignment="1">
      <alignment wrapText="1"/>
    </xf>
    <xf numFmtId="0" fontId="4" fillId="7" borderId="0" xfId="0" applyFont="1" applyFill="1" applyAlignment="1">
      <alignment wrapText="1"/>
    </xf>
    <xf numFmtId="49" fontId="5" fillId="7" borderId="0" xfId="0" applyNumberFormat="1" applyFont="1" applyFill="1" applyAlignment="1">
      <alignment wrapText="1"/>
    </xf>
    <xf numFmtId="0" fontId="0" fillId="7" borderId="0" xfId="0" applyFill="1" applyAlignment="1">
      <alignment wrapText="1"/>
    </xf>
    <xf numFmtId="0" fontId="3" fillId="0" borderId="0" xfId="1"/>
    <xf numFmtId="0" fontId="3" fillId="4" borderId="0" xfId="1" applyFill="1"/>
    <xf numFmtId="0" fontId="0" fillId="2" borderId="0" xfId="0" applyFill="1" applyAlignment="1">
      <alignment wrapText="1"/>
    </xf>
    <xf numFmtId="0" fontId="0" fillId="0" borderId="1" xfId="0" applyBorder="1" applyAlignment="1">
      <alignment wrapText="1"/>
    </xf>
    <xf numFmtId="0" fontId="8" fillId="2" borderId="0" xfId="0" applyFont="1" applyFill="1" applyAlignment="1">
      <alignment wrapText="1"/>
    </xf>
    <xf numFmtId="14" fontId="5" fillId="3" borderId="0" xfId="0" applyNumberFormat="1" applyFont="1" applyFill="1" applyAlignment="1">
      <alignment wrapText="1"/>
    </xf>
    <xf numFmtId="0" fontId="3" fillId="3" borderId="0" xfId="1" applyFill="1"/>
    <xf numFmtId="14" fontId="4" fillId="0" borderId="0" xfId="0" applyNumberFormat="1" applyFont="1" applyAlignment="1">
      <alignment wrapText="1"/>
    </xf>
    <xf numFmtId="0" fontId="2" fillId="0" borderId="0" xfId="2" applyAlignment="1">
      <alignment horizontal="center"/>
    </xf>
    <xf numFmtId="0" fontId="2" fillId="4" borderId="0" xfId="2" applyFill="1" applyAlignment="1">
      <alignment horizontal="center"/>
    </xf>
    <xf numFmtId="0" fontId="2" fillId="3" borderId="0" xfId="2" applyFill="1" applyAlignment="1">
      <alignment horizontal="center"/>
    </xf>
    <xf numFmtId="0" fontId="4" fillId="8" borderId="0" xfId="0" applyFont="1" applyFill="1" applyAlignment="1">
      <alignment wrapText="1"/>
    </xf>
    <xf numFmtId="0" fontId="0" fillId="8" borderId="0" xfId="0" applyFill="1" applyAlignment="1">
      <alignment wrapText="1"/>
    </xf>
    <xf numFmtId="14" fontId="0" fillId="7" borderId="0" xfId="0" applyNumberFormat="1" applyFill="1" applyAlignment="1">
      <alignment wrapText="1"/>
    </xf>
    <xf numFmtId="20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1" fontId="0" fillId="4" borderId="0" xfId="0" applyNumberFormat="1" applyFill="1" applyAlignment="1">
      <alignment wrapText="1"/>
    </xf>
    <xf numFmtId="0" fontId="1" fillId="0" borderId="0" xfId="3"/>
    <xf numFmtId="0" fontId="4" fillId="0" borderId="1" xfId="0" applyFont="1" applyBorder="1" applyAlignment="1">
      <alignment wrapText="1"/>
    </xf>
    <xf numFmtId="14" fontId="0" fillId="0" borderId="1" xfId="0" applyNumberFormat="1" applyBorder="1" applyAlignment="1">
      <alignment wrapText="1"/>
    </xf>
    <xf numFmtId="0" fontId="3" fillId="0" borderId="1" xfId="1" applyBorder="1"/>
    <xf numFmtId="0" fontId="0" fillId="9" borderId="0" xfId="0" applyFill="1" applyAlignment="1">
      <alignment wrapText="1"/>
    </xf>
    <xf numFmtId="0" fontId="5" fillId="0" borderId="0" xfId="0" applyNumberFormat="1" applyFont="1" applyAlignment="1">
      <alignment wrapText="1"/>
    </xf>
    <xf numFmtId="0" fontId="5" fillId="0" borderId="1" xfId="0" applyNumberFormat="1" applyFont="1" applyBorder="1" applyAlignment="1">
      <alignment wrapText="1"/>
    </xf>
  </cellXfs>
  <cellStyles count="4">
    <cellStyle name="Normal" xfId="0" builtinId="0"/>
    <cellStyle name="Normal 2" xfId="1" xr:uid="{871491A9-30A7-4AA0-AFF0-C09FDD027F88}"/>
    <cellStyle name="Normal 3" xfId="2" xr:uid="{6A49C146-B701-4699-98EE-0A014BD438F1}"/>
    <cellStyle name="Normal 4" xfId="3" xr:uid="{EA75578C-F461-490C-B8A8-D52FC93ADD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0</xdr:colOff>
      <xdr:row>1</xdr:row>
      <xdr:rowOff>0</xdr:rowOff>
    </xdr:from>
    <xdr:to>
      <xdr:col>39</xdr:col>
      <xdr:colOff>304800</xdr:colOff>
      <xdr:row>2</xdr:row>
      <xdr:rowOff>95250</xdr:rowOff>
    </xdr:to>
    <xdr:sp macro="" textlink="">
      <xdr:nvSpPr>
        <xdr:cNvPr id="1025" name="AutoShape 1" descr="Summary comparing 7th and 8th ed. AJCC staging of OCSCC and OPSCC">
          <a:extLst>
            <a:ext uri="{FF2B5EF4-FFF2-40B4-BE49-F238E27FC236}">
              <a16:creationId xmlns:a16="http://schemas.microsoft.com/office/drawing/2014/main" id="{80F5B2F3-0C1E-8CA9-E802-A05295C5FD15}"/>
            </a:ext>
          </a:extLst>
        </xdr:cNvPr>
        <xdr:cNvSpPr>
          <a:spLocks noChangeAspect="1" noChangeArrowheads="1"/>
        </xdr:cNvSpPr>
      </xdr:nvSpPr>
      <xdr:spPr bwMode="auto">
        <a:xfrm>
          <a:off x="54835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0</xdr:row>
      <xdr:rowOff>0</xdr:rowOff>
    </xdr:from>
    <xdr:to>
      <xdr:col>38</xdr:col>
      <xdr:colOff>304800</xdr:colOff>
      <xdr:row>1</xdr:row>
      <xdr:rowOff>104775</xdr:rowOff>
    </xdr:to>
    <xdr:sp macro="" textlink="">
      <xdr:nvSpPr>
        <xdr:cNvPr id="2" name="AutoShape 1" descr="Summary comparing 7th and 8th ed. AJCC staging of OCSCC and OPSCC">
          <a:extLst>
            <a:ext uri="{FF2B5EF4-FFF2-40B4-BE49-F238E27FC236}">
              <a16:creationId xmlns:a16="http://schemas.microsoft.com/office/drawing/2014/main" id="{BE4F5D65-D9E0-4416-8136-3FB5C97827D9}"/>
            </a:ext>
          </a:extLst>
        </xdr:cNvPr>
        <xdr:cNvSpPr>
          <a:spLocks noChangeAspect="1" noChangeArrowheads="1"/>
        </xdr:cNvSpPr>
      </xdr:nvSpPr>
      <xdr:spPr bwMode="auto">
        <a:xfrm>
          <a:off x="54835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70"/>
  <sheetViews>
    <sheetView tabSelected="1" workbookViewId="0">
      <pane xSplit="4" ySplit="3" topLeftCell="AD14" activePane="bottomRight" state="frozen"/>
      <selection pane="bottomRight" activeCell="AE24" sqref="AE24"/>
      <selection pane="bottomLeft" activeCell="A3" sqref="A3"/>
      <selection pane="topRight" activeCell="E1" sqref="E1"/>
    </sheetView>
  </sheetViews>
  <sheetFormatPr defaultColWidth="11.25" defaultRowHeight="15" customHeight="1"/>
  <cols>
    <col min="1" max="1" width="11.25" style="1"/>
    <col min="2" max="2" width="14.625" style="1" customWidth="1"/>
    <col min="3" max="4" width="10.375" style="1" customWidth="1"/>
    <col min="5" max="5" width="10.375" style="1" bestFit="1" customWidth="1"/>
    <col min="6" max="6" width="19.5" style="1" customWidth="1"/>
    <col min="7" max="7" width="12.125" style="1" customWidth="1"/>
    <col min="8" max="8" width="16.625" style="1" bestFit="1" customWidth="1"/>
    <col min="9" max="9" width="15.5" style="1" bestFit="1" customWidth="1"/>
    <col min="10" max="10" width="17.625" style="1" customWidth="1"/>
    <col min="11" max="11" width="24" style="1" customWidth="1"/>
    <col min="12" max="12" width="20.75" style="1" customWidth="1"/>
    <col min="13" max="13" width="22.375" style="1" customWidth="1"/>
    <col min="14" max="14" width="20" style="1" customWidth="1"/>
    <col min="15" max="15" width="26.125" style="1" customWidth="1"/>
    <col min="16" max="16" width="28.5" style="1" customWidth="1"/>
    <col min="17" max="17" width="21.5" style="1" customWidth="1"/>
    <col min="18" max="18" width="17.75" style="1" customWidth="1"/>
    <col min="19" max="19" width="16.75" style="1" customWidth="1"/>
    <col min="20" max="20" width="20.375" style="1" customWidth="1"/>
    <col min="21" max="21" width="22.875" style="1" bestFit="1" customWidth="1"/>
    <col min="22" max="22" width="37" style="1" bestFit="1" customWidth="1"/>
    <col min="23" max="23" width="12.125" style="1" bestFit="1" customWidth="1"/>
    <col min="24" max="25" width="19.25" style="1" bestFit="1" customWidth="1"/>
    <col min="26" max="26" width="19.25" style="1" customWidth="1"/>
    <col min="27" max="27" width="4" style="1" customWidth="1"/>
    <col min="28" max="28" width="6.625" style="1" customWidth="1"/>
    <col min="29" max="29" width="5.625" style="1" customWidth="1"/>
    <col min="30" max="30" width="18" style="1" customWidth="1"/>
    <col min="31" max="31" width="114.75" style="1" customWidth="1"/>
    <col min="32" max="32" width="36.25" style="1" bestFit="1" customWidth="1"/>
    <col min="33" max="33" width="23.75" style="1" customWidth="1"/>
    <col min="34" max="35" width="10.5" style="1" customWidth="1"/>
    <col min="36" max="37" width="11.25" style="1" customWidth="1"/>
    <col min="38" max="38" width="14.625" style="1" bestFit="1" customWidth="1"/>
    <col min="39" max="16384" width="11.25" style="1"/>
  </cols>
  <sheetData>
    <row r="1" spans="1:53" ht="15" customHeight="1">
      <c r="W1" s="1" t="s">
        <v>0</v>
      </c>
      <c r="X1" s="1" t="s">
        <v>0</v>
      </c>
      <c r="Y1" s="1" t="s">
        <v>1</v>
      </c>
      <c r="Z1" s="1" t="s">
        <v>2</v>
      </c>
    </row>
    <row r="2" spans="1:53" s="12" customFormat="1" ht="15.75" customHeight="1">
      <c r="A2" s="1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3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1" t="s">
        <v>24</v>
      </c>
      <c r="W2" s="1" t="s">
        <v>25</v>
      </c>
      <c r="X2" s="1" t="s">
        <v>26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  <c r="AJ2" s="1" t="s">
        <v>37</v>
      </c>
      <c r="AK2" s="1" t="s">
        <v>38</v>
      </c>
      <c r="AL2" s="2" t="s">
        <v>39</v>
      </c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ht="15.75" customHeight="1">
      <c r="B3" s="2" t="s">
        <v>40</v>
      </c>
      <c r="D3" s="22" t="s">
        <v>41</v>
      </c>
      <c r="E3" s="19" t="s">
        <v>42</v>
      </c>
      <c r="F3" s="8" t="s">
        <v>43</v>
      </c>
      <c r="G3" s="12" t="s">
        <v>44</v>
      </c>
      <c r="H3" s="27" t="s">
        <v>45</v>
      </c>
      <c r="I3" s="3"/>
      <c r="AL3" s="1" t="s">
        <v>46</v>
      </c>
    </row>
    <row r="4" spans="1:53" ht="15.75" customHeight="1">
      <c r="B4" s="1">
        <v>616919</v>
      </c>
      <c r="C4" s="1" t="s">
        <v>47</v>
      </c>
      <c r="D4" s="1" t="s">
        <v>48</v>
      </c>
      <c r="E4" s="6">
        <v>45873</v>
      </c>
      <c r="F4" s="1" t="s">
        <v>49</v>
      </c>
      <c r="G4" s="6">
        <v>45874</v>
      </c>
      <c r="I4" s="3"/>
      <c r="L4" s="1">
        <f>2258000*5</f>
        <v>11290000</v>
      </c>
      <c r="M4" s="1">
        <f>12480*5</f>
        <v>62400</v>
      </c>
      <c r="O4" s="1">
        <f>17190000*5</f>
        <v>85950000</v>
      </c>
      <c r="P4" s="1">
        <f>4513*5</f>
        <v>22565</v>
      </c>
      <c r="W4" s="1">
        <f>9711/15011*100</f>
        <v>64.692558790220502</v>
      </c>
      <c r="X4" s="44">
        <f>2462/15011*100</f>
        <v>16.401305709146627</v>
      </c>
      <c r="Y4" s="44">
        <f>2462/9711*100</f>
        <v>25.352692822572344</v>
      </c>
      <c r="Z4" s="44">
        <f>X4*L4/100</f>
        <v>1851707.4145626542</v>
      </c>
      <c r="AA4" s="40">
        <v>35</v>
      </c>
      <c r="AB4" s="40" t="s">
        <v>50</v>
      </c>
      <c r="AC4" s="40" t="s">
        <v>51</v>
      </c>
      <c r="AD4" s="40" t="s">
        <v>52</v>
      </c>
      <c r="AE4" s="40" t="s">
        <v>53</v>
      </c>
      <c r="AF4" s="1" t="s">
        <v>54</v>
      </c>
      <c r="AG4" s="1" t="s">
        <v>55</v>
      </c>
      <c r="AH4" s="1" t="s">
        <v>56</v>
      </c>
      <c r="AI4" s="1" t="s">
        <v>56</v>
      </c>
      <c r="AJ4" s="40" t="s">
        <v>57</v>
      </c>
      <c r="AK4" s="1" t="s">
        <v>58</v>
      </c>
      <c r="AL4" s="1">
        <v>4</v>
      </c>
    </row>
    <row r="5" spans="1:53" ht="15.75" customHeight="1">
      <c r="B5" s="2">
        <v>611553</v>
      </c>
      <c r="C5" s="2" t="s">
        <v>47</v>
      </c>
      <c r="D5" s="1" t="s">
        <v>48</v>
      </c>
      <c r="E5" s="4">
        <v>45393</v>
      </c>
      <c r="F5" s="2" t="s">
        <v>59</v>
      </c>
      <c r="G5" s="4">
        <v>45394</v>
      </c>
      <c r="H5" s="2" t="s">
        <v>60</v>
      </c>
      <c r="I5" s="45">
        <v>7.3</v>
      </c>
      <c r="J5" s="2">
        <v>1</v>
      </c>
      <c r="K5" s="2">
        <v>6.3</v>
      </c>
      <c r="L5" s="2">
        <f>19490000*5</f>
        <v>97450000</v>
      </c>
      <c r="M5" s="2">
        <f>42920*5</f>
        <v>214600</v>
      </c>
      <c r="N5" s="2">
        <f t="shared" ref="N5:N8" si="0">(L5/(L5+M5))*100</f>
        <v>99.780268387931756</v>
      </c>
      <c r="O5" s="2">
        <f>9459000*5</f>
        <v>47295000</v>
      </c>
      <c r="P5" s="2">
        <f>16810*5</f>
        <v>84050</v>
      </c>
      <c r="Q5" s="2">
        <f t="shared" ref="Q5:Q8" si="1">(O5/(O5+P5))*100</f>
        <v>99.822600917494114</v>
      </c>
      <c r="R5" s="2">
        <v>10</v>
      </c>
      <c r="T5" s="2">
        <v>4</v>
      </c>
      <c r="U5" s="2" t="s">
        <v>61</v>
      </c>
      <c r="V5" s="2"/>
      <c r="W5" s="1">
        <f>46348/65208*100</f>
        <v>71.077168445589507</v>
      </c>
      <c r="X5" s="1">
        <f>1082/65208*100</f>
        <v>1.6593056066740279</v>
      </c>
      <c r="Y5" s="1">
        <f>1082/46348*100</f>
        <v>2.3345128160869941</v>
      </c>
      <c r="Z5" s="44">
        <f>X5*L5/100</f>
        <v>1616993.3137038401</v>
      </c>
      <c r="AA5" s="23">
        <v>77</v>
      </c>
      <c r="AB5" s="23" t="s">
        <v>62</v>
      </c>
      <c r="AC5" s="23" t="s">
        <v>51</v>
      </c>
      <c r="AD5" s="23" t="s">
        <v>52</v>
      </c>
      <c r="AE5" s="23" t="s">
        <v>63</v>
      </c>
      <c r="AF5" s="1" t="s">
        <v>54</v>
      </c>
      <c r="AG5" s="1" t="s">
        <v>64</v>
      </c>
      <c r="AH5" s="1" t="s">
        <v>65</v>
      </c>
      <c r="AI5" s="1" t="s">
        <v>56</v>
      </c>
      <c r="AJ5" s="1" t="s">
        <v>66</v>
      </c>
      <c r="AK5" s="1" t="s">
        <v>58</v>
      </c>
      <c r="AL5" s="1">
        <v>3</v>
      </c>
    </row>
    <row r="6" spans="1:53" s="12" customFormat="1" ht="15.75" customHeight="1">
      <c r="A6" s="1"/>
      <c r="B6" s="2">
        <v>611620</v>
      </c>
      <c r="C6" s="2" t="s">
        <v>47</v>
      </c>
      <c r="D6" s="1" t="s">
        <v>48</v>
      </c>
      <c r="E6" s="4">
        <v>45400</v>
      </c>
      <c r="F6" s="2" t="s">
        <v>67</v>
      </c>
      <c r="G6" s="4">
        <v>45401</v>
      </c>
      <c r="H6" s="2" t="s">
        <v>68</v>
      </c>
      <c r="I6" s="3">
        <v>9</v>
      </c>
      <c r="J6" s="2">
        <v>1</v>
      </c>
      <c r="K6" s="2">
        <v>8</v>
      </c>
      <c r="L6" s="2">
        <f>16660000*5</f>
        <v>83300000</v>
      </c>
      <c r="M6" s="2">
        <f>38590*5</f>
        <v>192950</v>
      </c>
      <c r="N6" s="2">
        <f t="shared" si="0"/>
        <v>99.768902643875919</v>
      </c>
      <c r="O6" s="2">
        <f>10980000*5</f>
        <v>54900000</v>
      </c>
      <c r="P6" s="2">
        <f>30907*5</f>
        <v>154535</v>
      </c>
      <c r="Q6" s="2">
        <f t="shared" si="1"/>
        <v>99.719305593989674</v>
      </c>
      <c r="R6" s="2">
        <v>18</v>
      </c>
      <c r="S6" s="1"/>
      <c r="T6" s="2">
        <v>5</v>
      </c>
      <c r="U6" s="2" t="s">
        <v>69</v>
      </c>
      <c r="V6" s="2"/>
      <c r="W6" s="1">
        <f>15588/26870*100</f>
        <v>58.012653516933391</v>
      </c>
      <c r="X6" s="1">
        <f>428/26870*100</f>
        <v>1.5928544845552661</v>
      </c>
      <c r="Y6" s="1">
        <f>428/15588*100</f>
        <v>2.745701821914293</v>
      </c>
      <c r="Z6" s="44">
        <f>X6*L6/100</f>
        <v>1326847.7856345368</v>
      </c>
      <c r="AA6" s="23">
        <v>70</v>
      </c>
      <c r="AB6" s="23" t="s">
        <v>50</v>
      </c>
      <c r="AC6" s="23" t="s">
        <v>51</v>
      </c>
      <c r="AD6" s="23" t="s">
        <v>52</v>
      </c>
      <c r="AE6" s="23" t="s">
        <v>70</v>
      </c>
      <c r="AF6" s="1" t="s">
        <v>71</v>
      </c>
      <c r="AG6" s="2" t="s">
        <v>72</v>
      </c>
      <c r="AH6" s="2" t="s">
        <v>56</v>
      </c>
      <c r="AI6" s="1" t="s">
        <v>73</v>
      </c>
      <c r="AJ6" s="2" t="s">
        <v>56</v>
      </c>
      <c r="AK6" s="2" t="s">
        <v>56</v>
      </c>
      <c r="AL6" s="1" t="s">
        <v>56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s="12" customFormat="1" ht="15.75">
      <c r="A7" s="1" t="s">
        <v>74</v>
      </c>
      <c r="B7" s="1">
        <v>614851</v>
      </c>
      <c r="C7" s="2" t="s">
        <v>47</v>
      </c>
      <c r="D7" s="1" t="s">
        <v>48</v>
      </c>
      <c r="E7" s="6">
        <v>45705</v>
      </c>
      <c r="F7" s="1" t="s">
        <v>75</v>
      </c>
      <c r="G7" s="6">
        <v>45706</v>
      </c>
      <c r="H7" s="1" t="s">
        <v>76</v>
      </c>
      <c r="I7" s="45">
        <v>9</v>
      </c>
      <c r="J7" s="1">
        <v>1</v>
      </c>
      <c r="K7" s="1">
        <v>8</v>
      </c>
      <c r="L7" s="1">
        <f>5*2240000</f>
        <v>11200000</v>
      </c>
      <c r="M7" s="1">
        <f>5*8097</f>
        <v>40485</v>
      </c>
      <c r="N7" s="2">
        <f t="shared" si="0"/>
        <v>99.639828708458751</v>
      </c>
      <c r="O7" s="1">
        <f>5*848500</f>
        <v>4242500</v>
      </c>
      <c r="P7" s="1">
        <f>5*3009</f>
        <v>15045</v>
      </c>
      <c r="Q7" s="2">
        <f t="shared" si="1"/>
        <v>99.64662734040391</v>
      </c>
      <c r="R7" s="1">
        <v>4</v>
      </c>
      <c r="S7" s="1"/>
      <c r="T7" s="1"/>
      <c r="U7" s="1" t="s">
        <v>77</v>
      </c>
      <c r="V7" s="1"/>
      <c r="W7" s="1">
        <f>9091/12910*100</f>
        <v>70.41828040278854</v>
      </c>
      <c r="X7" s="44">
        <f>1331/12910*100</f>
        <v>10.309837335398916</v>
      </c>
      <c r="Y7" s="44">
        <v>14.6</v>
      </c>
      <c r="Z7" s="44">
        <f>X7*L7/100</f>
        <v>1154701.7815646785</v>
      </c>
      <c r="AA7" s="23">
        <v>83</v>
      </c>
      <c r="AB7" s="23" t="s">
        <v>62</v>
      </c>
      <c r="AC7" s="23" t="s">
        <v>51</v>
      </c>
      <c r="AD7" s="23" t="s">
        <v>52</v>
      </c>
      <c r="AE7" s="23" t="s">
        <v>78</v>
      </c>
      <c r="AF7" s="1" t="s">
        <v>54</v>
      </c>
      <c r="AG7" s="1" t="s">
        <v>79</v>
      </c>
      <c r="AH7" s="1" t="s">
        <v>56</v>
      </c>
      <c r="AI7" s="1" t="s">
        <v>56</v>
      </c>
      <c r="AJ7" s="1" t="s">
        <v>80</v>
      </c>
      <c r="AK7" s="1" t="s">
        <v>58</v>
      </c>
      <c r="AL7" s="1">
        <v>1</v>
      </c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</row>
    <row r="8" spans="1:53" ht="15.75" customHeight="1">
      <c r="A8" s="1" t="s">
        <v>74</v>
      </c>
      <c r="B8" s="1">
        <v>614476</v>
      </c>
      <c r="C8" s="2" t="s">
        <v>47</v>
      </c>
      <c r="D8" s="1" t="s">
        <v>48</v>
      </c>
      <c r="E8" s="6">
        <v>45678</v>
      </c>
      <c r="F8" s="2" t="s">
        <v>81</v>
      </c>
      <c r="G8" s="6">
        <v>45679</v>
      </c>
      <c r="H8" s="1" t="s">
        <v>82</v>
      </c>
      <c r="I8" s="45">
        <v>9</v>
      </c>
      <c r="J8" s="1">
        <v>1</v>
      </c>
      <c r="K8" s="1">
        <v>8</v>
      </c>
      <c r="L8" s="1">
        <f>5*13080000</f>
        <v>65400000</v>
      </c>
      <c r="M8" s="1">
        <f>5*26550</f>
        <v>132750</v>
      </c>
      <c r="N8" s="2">
        <f t="shared" si="0"/>
        <v>99.797429529510055</v>
      </c>
      <c r="O8" s="1">
        <f>23670000*5</f>
        <v>118350000</v>
      </c>
      <c r="P8" s="1">
        <f>489400*5</f>
        <v>2447000</v>
      </c>
      <c r="Q8" s="2">
        <f t="shared" si="1"/>
        <v>97.974287440913272</v>
      </c>
      <c r="R8" s="1">
        <v>6</v>
      </c>
      <c r="U8" s="1" t="s">
        <v>83</v>
      </c>
      <c r="W8" s="1">
        <v>35.799999999999997</v>
      </c>
      <c r="X8" s="1">
        <f>91/5741*100</f>
        <v>1.5850897056261977</v>
      </c>
      <c r="Y8" s="1">
        <v>4.43</v>
      </c>
      <c r="Z8" s="44">
        <f>X8*L8/100</f>
        <v>1036648.6674795332</v>
      </c>
      <c r="AA8" s="23">
        <v>63</v>
      </c>
      <c r="AB8" s="23" t="s">
        <v>50</v>
      </c>
      <c r="AC8" s="23" t="s">
        <v>51</v>
      </c>
      <c r="AD8" s="23" t="s">
        <v>52</v>
      </c>
      <c r="AE8" s="23" t="s">
        <v>84</v>
      </c>
      <c r="AF8" s="1" t="s">
        <v>54</v>
      </c>
      <c r="AG8" s="1" t="s">
        <v>85</v>
      </c>
      <c r="AH8" s="1" t="s">
        <v>56</v>
      </c>
      <c r="AI8" s="1" t="s">
        <v>56</v>
      </c>
      <c r="AJ8" s="1" t="s">
        <v>56</v>
      </c>
      <c r="AK8" s="1" t="s">
        <v>56</v>
      </c>
      <c r="AL8" s="1" t="s">
        <v>56</v>
      </c>
    </row>
    <row r="9" spans="1:53" s="12" customFormat="1" ht="15.75" customHeight="1">
      <c r="A9" s="1"/>
      <c r="B9" s="1">
        <v>617177</v>
      </c>
      <c r="C9" s="1" t="s">
        <v>47</v>
      </c>
      <c r="D9" s="1" t="s">
        <v>48</v>
      </c>
      <c r="E9" s="6">
        <v>45895</v>
      </c>
      <c r="F9" s="1" t="s">
        <v>86</v>
      </c>
      <c r="G9" s="6">
        <v>45896</v>
      </c>
      <c r="H9" s="1" t="s">
        <v>87</v>
      </c>
      <c r="I9" s="45">
        <v>8</v>
      </c>
      <c r="J9" s="1">
        <v>1</v>
      </c>
      <c r="K9" s="1">
        <v>7</v>
      </c>
      <c r="L9" s="1">
        <f>1264000*5</f>
        <v>6320000</v>
      </c>
      <c r="M9" s="1">
        <f>20620*5</f>
        <v>103100</v>
      </c>
      <c r="N9" s="1"/>
      <c r="O9" s="1">
        <f>389700*5</f>
        <v>1948500</v>
      </c>
      <c r="P9" s="1">
        <f>8407*5</f>
        <v>42035</v>
      </c>
      <c r="Q9" s="1"/>
      <c r="R9" s="1">
        <v>6</v>
      </c>
      <c r="S9" s="1"/>
      <c r="T9" s="1"/>
      <c r="U9" s="1"/>
      <c r="V9" s="1"/>
      <c r="W9" s="1">
        <f>14380/24339*100</f>
        <v>59.082131558404207</v>
      </c>
      <c r="X9" s="44">
        <f>3791/24339*100</f>
        <v>15.575824807921443</v>
      </c>
      <c r="Y9" s="44">
        <f>3791/14380*100</f>
        <v>26.36300417246175</v>
      </c>
      <c r="Z9" s="44">
        <f t="shared" ref="Z9:Z15" si="2">X9*L9/100</f>
        <v>984392.12786063517</v>
      </c>
      <c r="AA9" s="40">
        <v>73</v>
      </c>
      <c r="AB9" s="40" t="s">
        <v>50</v>
      </c>
      <c r="AC9" s="40" t="s">
        <v>51</v>
      </c>
      <c r="AD9" s="40" t="s">
        <v>52</v>
      </c>
      <c r="AE9" s="40" t="s">
        <v>53</v>
      </c>
      <c r="AF9" s="1" t="s">
        <v>54</v>
      </c>
      <c r="AG9" s="1" t="s">
        <v>88</v>
      </c>
      <c r="AH9" s="1" t="s">
        <v>56</v>
      </c>
      <c r="AI9" s="1" t="s">
        <v>56</v>
      </c>
      <c r="AJ9" s="40" t="s">
        <v>89</v>
      </c>
      <c r="AK9" s="1" t="s">
        <v>90</v>
      </c>
      <c r="AL9" s="1">
        <v>4</v>
      </c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</row>
    <row r="10" spans="1:53" s="5" customFormat="1" ht="15.75" customHeight="1">
      <c r="A10" s="1"/>
      <c r="B10" s="2">
        <v>611603</v>
      </c>
      <c r="C10" s="2" t="s">
        <v>47</v>
      </c>
      <c r="D10" s="1" t="s">
        <v>48</v>
      </c>
      <c r="E10" s="4">
        <v>45399</v>
      </c>
      <c r="F10" s="2" t="s">
        <v>91</v>
      </c>
      <c r="G10" s="4">
        <v>45400</v>
      </c>
      <c r="H10" s="2" t="s">
        <v>92</v>
      </c>
      <c r="I10" s="45">
        <v>6.2</v>
      </c>
      <c r="J10" s="2">
        <v>1</v>
      </c>
      <c r="K10" s="2">
        <v>5.2</v>
      </c>
      <c r="L10" s="2">
        <f>17860000*5</f>
        <v>89300000</v>
      </c>
      <c r="M10" s="2">
        <f>9292*5</f>
        <v>46460</v>
      </c>
      <c r="N10" s="2">
        <f>(L10/(L10+M10))*100</f>
        <v>99.948000178182767</v>
      </c>
      <c r="O10" s="2">
        <f>5886000*5</f>
        <v>29430000</v>
      </c>
      <c r="P10" s="2">
        <f>9735*5</f>
        <v>48675</v>
      </c>
      <c r="Q10" s="2">
        <f>(O10/(O10+P10))*100</f>
        <v>99.834880638291921</v>
      </c>
      <c r="R10" s="2">
        <v>14</v>
      </c>
      <c r="S10" s="1"/>
      <c r="T10" s="2">
        <v>2</v>
      </c>
      <c r="U10" s="2" t="s">
        <v>93</v>
      </c>
      <c r="V10" s="2"/>
      <c r="W10" s="1">
        <f>6963/15213*100</f>
        <v>45.770065075921906</v>
      </c>
      <c r="X10" s="1">
        <f>165/15213*100</f>
        <v>1.0845986984815619</v>
      </c>
      <c r="Y10" s="1">
        <f>165/6963*100</f>
        <v>2.3696682464454977</v>
      </c>
      <c r="Z10" s="44">
        <f t="shared" si="2"/>
        <v>968546.63774403487</v>
      </c>
      <c r="AA10" s="23">
        <v>59</v>
      </c>
      <c r="AB10" s="23" t="s">
        <v>62</v>
      </c>
      <c r="AC10" s="23" t="s">
        <v>51</v>
      </c>
      <c r="AD10" s="23" t="s">
        <v>52</v>
      </c>
      <c r="AE10" s="23" t="s">
        <v>94</v>
      </c>
      <c r="AF10" s="1" t="s">
        <v>95</v>
      </c>
      <c r="AG10" s="1" t="s">
        <v>96</v>
      </c>
      <c r="AH10" s="1" t="s">
        <v>58</v>
      </c>
      <c r="AI10" s="1" t="s">
        <v>56</v>
      </c>
      <c r="AJ10" s="1" t="s">
        <v>56</v>
      </c>
      <c r="AK10" s="1" t="s">
        <v>56</v>
      </c>
      <c r="AL10" s="1" t="s">
        <v>56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s="7" customFormat="1" ht="15.75" customHeight="1">
      <c r="A11" s="1"/>
      <c r="B11" s="1">
        <v>616671</v>
      </c>
      <c r="C11" s="2" t="s">
        <v>47</v>
      </c>
      <c r="D11" s="1" t="s">
        <v>48</v>
      </c>
      <c r="E11" s="6">
        <v>45852</v>
      </c>
      <c r="F11" s="2" t="s">
        <v>97</v>
      </c>
      <c r="G11" s="6">
        <v>45853</v>
      </c>
      <c r="H11" s="18" t="s">
        <v>98</v>
      </c>
      <c r="I11" s="45">
        <v>9</v>
      </c>
      <c r="J11" s="1">
        <v>1</v>
      </c>
      <c r="K11" s="1">
        <v>8</v>
      </c>
      <c r="L11" s="1">
        <f>5*1074000</f>
        <v>5370000</v>
      </c>
      <c r="M11" s="1">
        <f>5*26590</f>
        <v>132950</v>
      </c>
      <c r="N11" s="2">
        <f>(L11/(L11+M11))*100</f>
        <v>97.584023114874753</v>
      </c>
      <c r="O11" s="1">
        <f>1349000*5</f>
        <v>6745000</v>
      </c>
      <c r="P11" s="1">
        <f>5*2876</f>
        <v>14380</v>
      </c>
      <c r="Q11" s="2">
        <f>(O11/(O11+P11))*100</f>
        <v>99.787258594723184</v>
      </c>
      <c r="R11" s="22"/>
      <c r="S11" s="1"/>
      <c r="T11" s="1"/>
      <c r="U11" s="1" t="s">
        <v>99</v>
      </c>
      <c r="V11" s="1"/>
      <c r="W11" s="35">
        <f>19085/36324*100</f>
        <v>52.541019711485518</v>
      </c>
      <c r="X11" s="44">
        <f>6038/36324*100</f>
        <v>16.622618654333223</v>
      </c>
      <c r="Y11" s="44">
        <f>6038/19085*100</f>
        <v>31.637411579774692</v>
      </c>
      <c r="Z11" s="44">
        <f t="shared" si="2"/>
        <v>892634.62173769413</v>
      </c>
      <c r="AA11" s="31">
        <v>82</v>
      </c>
      <c r="AB11" s="31" t="s">
        <v>50</v>
      </c>
      <c r="AC11" s="31" t="s">
        <v>51</v>
      </c>
      <c r="AD11" s="31" t="s">
        <v>52</v>
      </c>
      <c r="AE11" s="31" t="s">
        <v>100</v>
      </c>
      <c r="AF11" s="2" t="s">
        <v>101</v>
      </c>
      <c r="AG11" s="2" t="s">
        <v>55</v>
      </c>
      <c r="AH11" s="2" t="s">
        <v>56</v>
      </c>
      <c r="AI11" s="2" t="s">
        <v>58</v>
      </c>
      <c r="AJ11" s="2" t="s">
        <v>56</v>
      </c>
      <c r="AK11" s="2" t="s">
        <v>56</v>
      </c>
      <c r="AL11" s="2" t="s">
        <v>56</v>
      </c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</row>
    <row r="12" spans="1:53" ht="15.75" customHeight="1">
      <c r="B12" s="1">
        <v>616701</v>
      </c>
      <c r="C12" s="1" t="s">
        <v>47</v>
      </c>
      <c r="D12" s="1" t="s">
        <v>48</v>
      </c>
      <c r="E12" s="6">
        <v>45853</v>
      </c>
      <c r="F12" s="1" t="s">
        <v>102</v>
      </c>
      <c r="G12" s="6">
        <v>45854</v>
      </c>
      <c r="H12" s="1" t="s">
        <v>103</v>
      </c>
      <c r="I12" s="45">
        <v>9</v>
      </c>
      <c r="J12" s="1">
        <v>1</v>
      </c>
      <c r="K12" s="1">
        <v>8</v>
      </c>
      <c r="L12" s="1">
        <f>2663000*5</f>
        <v>13315000</v>
      </c>
      <c r="M12" s="1">
        <f>17610*5</f>
        <v>88050</v>
      </c>
      <c r="O12" s="1">
        <f>1877000*5</f>
        <v>9385000</v>
      </c>
      <c r="P12" s="1">
        <f>5*70090</f>
        <v>350450</v>
      </c>
      <c r="Q12" s="22"/>
      <c r="R12" s="22"/>
      <c r="S12" s="22"/>
      <c r="T12" s="22"/>
      <c r="U12" s="22"/>
      <c r="V12" s="22"/>
      <c r="W12" s="1">
        <f>7256/14192*100</f>
        <v>51.127395715896284</v>
      </c>
      <c r="X12" s="44">
        <f>934/14192*100</f>
        <v>6.5811724915445318</v>
      </c>
      <c r="Y12" s="44">
        <f>934/7256*100</f>
        <v>12.872105843439913</v>
      </c>
      <c r="Z12" s="44">
        <f t="shared" si="2"/>
        <v>876283.11724915449</v>
      </c>
      <c r="AA12" s="31">
        <v>67</v>
      </c>
      <c r="AB12" s="31" t="s">
        <v>62</v>
      </c>
      <c r="AC12" s="31" t="s">
        <v>51</v>
      </c>
      <c r="AD12" s="31" t="s">
        <v>52</v>
      </c>
      <c r="AE12" s="31" t="s">
        <v>104</v>
      </c>
      <c r="AF12" s="2" t="s">
        <v>101</v>
      </c>
      <c r="AG12" s="2" t="s">
        <v>55</v>
      </c>
      <c r="AH12" s="2" t="s">
        <v>56</v>
      </c>
      <c r="AI12" s="2" t="s">
        <v>56</v>
      </c>
      <c r="AJ12" s="2" t="s">
        <v>57</v>
      </c>
      <c r="AK12" s="2" t="s">
        <v>58</v>
      </c>
      <c r="AL12" s="1">
        <v>4</v>
      </c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</row>
    <row r="13" spans="1:53" ht="15.75" customHeight="1">
      <c r="B13" s="2">
        <v>615538</v>
      </c>
      <c r="C13" s="2" t="s">
        <v>47</v>
      </c>
      <c r="D13" s="1" t="s">
        <v>48</v>
      </c>
      <c r="E13" s="6">
        <v>45756</v>
      </c>
      <c r="F13" s="1" t="s">
        <v>105</v>
      </c>
      <c r="G13" s="6">
        <v>45757</v>
      </c>
      <c r="H13" s="1" t="s">
        <v>76</v>
      </c>
      <c r="I13" s="45">
        <v>9</v>
      </c>
      <c r="J13" s="1">
        <v>1</v>
      </c>
      <c r="K13" s="1">
        <v>8</v>
      </c>
      <c r="L13" s="1">
        <f>5108000*5</f>
        <v>25540000</v>
      </c>
      <c r="M13" s="1">
        <f>103500*5</f>
        <v>517500</v>
      </c>
      <c r="N13" s="2">
        <f t="shared" ref="N13:N16" si="3">(L13/(L13+M13))*100</f>
        <v>98.014007483450058</v>
      </c>
      <c r="O13" s="1">
        <f>1463000*5</f>
        <v>7315000</v>
      </c>
      <c r="P13" s="1">
        <f>6637*5</f>
        <v>33185</v>
      </c>
      <c r="Q13" s="2">
        <f t="shared" ref="Q13:Q16" si="4">(O13/(O13+P13))*100</f>
        <v>99.548391881804832</v>
      </c>
      <c r="R13" s="1">
        <v>6</v>
      </c>
      <c r="U13" s="1" t="s">
        <v>99</v>
      </c>
      <c r="W13" s="1">
        <f>24592/35039*100</f>
        <v>70.184651388452863</v>
      </c>
      <c r="X13" s="1">
        <f>771/35039*100</f>
        <v>2.2004052627072692</v>
      </c>
      <c r="Y13" s="1">
        <f>771/24592*100</f>
        <v>3.1351659076122314</v>
      </c>
      <c r="Z13" s="1">
        <f t="shared" si="2"/>
        <v>561983.50409543654</v>
      </c>
      <c r="AA13" s="23">
        <v>49</v>
      </c>
      <c r="AB13" s="23" t="s">
        <v>50</v>
      </c>
      <c r="AC13" s="23" t="s">
        <v>51</v>
      </c>
      <c r="AD13" s="23" t="s">
        <v>52</v>
      </c>
      <c r="AE13" s="23" t="s">
        <v>106</v>
      </c>
      <c r="AF13" s="1" t="s">
        <v>54</v>
      </c>
      <c r="AG13" s="1" t="s">
        <v>107</v>
      </c>
      <c r="AH13" s="1" t="s">
        <v>56</v>
      </c>
      <c r="AI13" s="1" t="s">
        <v>56</v>
      </c>
      <c r="AJ13" s="1" t="s">
        <v>108</v>
      </c>
      <c r="AK13" s="1" t="s">
        <v>58</v>
      </c>
      <c r="AL13" s="1">
        <v>2</v>
      </c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</row>
    <row r="14" spans="1:53" s="8" customFormat="1" ht="15.75" customHeight="1">
      <c r="A14" s="2" t="s">
        <v>74</v>
      </c>
      <c r="B14" s="2">
        <v>615576</v>
      </c>
      <c r="C14" s="2" t="s">
        <v>47</v>
      </c>
      <c r="D14" s="1" t="s">
        <v>48</v>
      </c>
      <c r="E14" s="6">
        <v>45761</v>
      </c>
      <c r="F14" s="1" t="s">
        <v>109</v>
      </c>
      <c r="G14" s="6">
        <v>45762</v>
      </c>
      <c r="H14" s="1" t="s">
        <v>110</v>
      </c>
      <c r="I14" s="45">
        <v>6</v>
      </c>
      <c r="J14" s="1">
        <v>1</v>
      </c>
      <c r="K14" s="1">
        <v>5</v>
      </c>
      <c r="L14" s="1">
        <f>5*613100</f>
        <v>3065500</v>
      </c>
      <c r="M14" s="1">
        <f>5*7089</f>
        <v>35445</v>
      </c>
      <c r="N14" s="2">
        <f t="shared" si="3"/>
        <v>98.856961345654298</v>
      </c>
      <c r="O14" s="1">
        <f>918300*5</f>
        <v>4591500</v>
      </c>
      <c r="P14" s="1">
        <f>9156*5</f>
        <v>45780</v>
      </c>
      <c r="Q14" s="2">
        <f t="shared" si="4"/>
        <v>99.012783355760263</v>
      </c>
      <c r="R14" s="1">
        <v>6</v>
      </c>
      <c r="S14" s="1"/>
      <c r="T14" s="1"/>
      <c r="U14" s="1" t="s">
        <v>111</v>
      </c>
      <c r="V14" s="1"/>
      <c r="W14" s="1">
        <f>17543/24365*100</f>
        <v>72.000820849579313</v>
      </c>
      <c r="X14" s="44">
        <f>4377/24365*100</f>
        <v>17.964293043299815</v>
      </c>
      <c r="Y14" s="44">
        <f>4377/17543*100</f>
        <v>24.950122556005244</v>
      </c>
      <c r="Z14" s="1">
        <f t="shared" si="2"/>
        <v>550695.40324235579</v>
      </c>
      <c r="AA14" s="23">
        <v>83</v>
      </c>
      <c r="AB14" s="23" t="s">
        <v>62</v>
      </c>
      <c r="AC14" s="23" t="s">
        <v>51</v>
      </c>
      <c r="AD14" s="23" t="s">
        <v>52</v>
      </c>
      <c r="AE14" s="23" t="s">
        <v>112</v>
      </c>
      <c r="AF14" s="1" t="s">
        <v>54</v>
      </c>
      <c r="AG14" s="1" t="s">
        <v>79</v>
      </c>
      <c r="AH14" s="1" t="s">
        <v>56</v>
      </c>
      <c r="AI14" s="1" t="s">
        <v>56</v>
      </c>
      <c r="AJ14" s="1" t="s">
        <v>56</v>
      </c>
      <c r="AK14" s="1" t="s">
        <v>56</v>
      </c>
      <c r="AL14" s="1" t="s">
        <v>56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s="8" customFormat="1" ht="15.75">
      <c r="A15" s="1"/>
      <c r="B15" s="1">
        <v>616494</v>
      </c>
      <c r="C15" s="1" t="s">
        <v>47</v>
      </c>
      <c r="D15" s="2" t="s">
        <v>48</v>
      </c>
      <c r="E15" s="6">
        <v>45833</v>
      </c>
      <c r="F15" s="1" t="s">
        <v>113</v>
      </c>
      <c r="G15" s="6">
        <v>45834</v>
      </c>
      <c r="H15" s="22"/>
      <c r="I15" s="45">
        <v>8</v>
      </c>
      <c r="J15" s="1">
        <v>1</v>
      </c>
      <c r="K15" s="22"/>
      <c r="L15" s="1">
        <f>5*946900</f>
        <v>4734500</v>
      </c>
      <c r="M15" s="1">
        <f>5*14030</f>
        <v>70150</v>
      </c>
      <c r="N15" s="2">
        <f t="shared" si="3"/>
        <v>98.53995608421009</v>
      </c>
      <c r="O15" s="1">
        <f>5*1799000</f>
        <v>8995000</v>
      </c>
      <c r="P15" s="1">
        <f>5*20930</f>
        <v>104650</v>
      </c>
      <c r="Q15" s="2">
        <f t="shared" si="4"/>
        <v>98.849955767529522</v>
      </c>
      <c r="R15" s="1">
        <v>6</v>
      </c>
      <c r="S15" s="1"/>
      <c r="T15" s="1"/>
      <c r="U15" s="2" t="s">
        <v>99</v>
      </c>
      <c r="V15" s="1"/>
      <c r="W15" s="2">
        <f>7800/11918*100</f>
        <v>65.44722268837053</v>
      </c>
      <c r="X15" s="44">
        <f>1257/11918*100</f>
        <v>10.547071656318174</v>
      </c>
      <c r="Y15" s="44">
        <f>1257/7800*100</f>
        <v>16.115384615384613</v>
      </c>
      <c r="Z15" s="1">
        <f t="shared" si="2"/>
        <v>499351.10756838397</v>
      </c>
      <c r="AA15" s="31">
        <v>57</v>
      </c>
      <c r="AB15" s="31" t="s">
        <v>50</v>
      </c>
      <c r="AC15" s="31" t="s">
        <v>51</v>
      </c>
      <c r="AD15" s="31" t="s">
        <v>52</v>
      </c>
      <c r="AE15" s="31" t="s">
        <v>114</v>
      </c>
      <c r="AF15" s="1" t="s">
        <v>71</v>
      </c>
      <c r="AG15" s="2" t="s">
        <v>72</v>
      </c>
      <c r="AH15" s="2" t="s">
        <v>56</v>
      </c>
      <c r="AI15" s="2" t="s">
        <v>115</v>
      </c>
      <c r="AJ15" s="2" t="s">
        <v>116</v>
      </c>
      <c r="AK15" s="2" t="s">
        <v>117</v>
      </c>
      <c r="AL15" s="1">
        <v>4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ht="15.75" customHeight="1">
      <c r="B16" s="1">
        <v>616343</v>
      </c>
      <c r="C16" s="1" t="s">
        <v>47</v>
      </c>
      <c r="D16" s="2" t="s">
        <v>48</v>
      </c>
      <c r="E16" s="6">
        <v>45817</v>
      </c>
      <c r="F16" s="1" t="s">
        <v>118</v>
      </c>
      <c r="G16" s="6">
        <v>45818</v>
      </c>
      <c r="H16" s="1" t="s">
        <v>119</v>
      </c>
      <c r="I16" s="45">
        <v>3</v>
      </c>
      <c r="J16" s="1">
        <v>1</v>
      </c>
      <c r="K16" s="1">
        <v>2</v>
      </c>
      <c r="L16" s="1">
        <f>5*1005000</f>
        <v>5025000</v>
      </c>
      <c r="M16" s="1">
        <f>5*16500</f>
        <v>82500</v>
      </c>
      <c r="N16" s="2">
        <f t="shared" si="3"/>
        <v>98.38472834067548</v>
      </c>
      <c r="O16" s="1">
        <f>3301000*5</f>
        <v>16505000</v>
      </c>
      <c r="P16" s="1">
        <f>5*4895</f>
        <v>24475</v>
      </c>
      <c r="Q16" s="2">
        <f t="shared" si="4"/>
        <v>99.851931171437684</v>
      </c>
      <c r="R16" s="1">
        <v>6</v>
      </c>
      <c r="U16" s="1" t="s">
        <v>99</v>
      </c>
      <c r="W16" s="2">
        <f>14987/26761*100</f>
        <v>56.003138896154844</v>
      </c>
      <c r="X16" s="44">
        <f>2522/26761*100</f>
        <v>9.4241620268300874</v>
      </c>
      <c r="Y16" s="44">
        <f>2522/14987*100</f>
        <v>16.827917528524722</v>
      </c>
      <c r="Z16" s="1">
        <f t="shared" ref="Z16:Z22" si="5">X16*L16/100</f>
        <v>473564.14184821188</v>
      </c>
      <c r="AA16" s="31">
        <v>60</v>
      </c>
      <c r="AB16" s="31" t="s">
        <v>62</v>
      </c>
      <c r="AC16" s="31" t="s">
        <v>51</v>
      </c>
      <c r="AD16" s="31" t="s">
        <v>52</v>
      </c>
      <c r="AE16" s="31" t="s">
        <v>120</v>
      </c>
      <c r="AF16" s="2" t="s">
        <v>101</v>
      </c>
      <c r="AG16" s="2" t="s">
        <v>121</v>
      </c>
      <c r="AH16" s="2" t="s">
        <v>56</v>
      </c>
      <c r="AI16" s="2" t="s">
        <v>56</v>
      </c>
      <c r="AJ16" s="2" t="s">
        <v>122</v>
      </c>
      <c r="AK16" s="2" t="s">
        <v>73</v>
      </c>
      <c r="AL16" s="1">
        <v>3</v>
      </c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</row>
    <row r="17" spans="1:53" s="8" customFormat="1" ht="15.75" customHeight="1">
      <c r="A17" s="1"/>
      <c r="B17" s="1">
        <v>616861</v>
      </c>
      <c r="C17" s="1" t="s">
        <v>47</v>
      </c>
      <c r="D17" s="1" t="s">
        <v>48</v>
      </c>
      <c r="E17" s="6">
        <v>45867</v>
      </c>
      <c r="F17" s="1" t="s">
        <v>123</v>
      </c>
      <c r="G17" s="6">
        <v>45868</v>
      </c>
      <c r="H17" s="1" t="s">
        <v>124</v>
      </c>
      <c r="I17" s="45">
        <v>8.5</v>
      </c>
      <c r="J17" s="1">
        <v>1</v>
      </c>
      <c r="K17" s="1">
        <v>7.5</v>
      </c>
      <c r="L17" s="1">
        <f>4836000*5</f>
        <v>24180000</v>
      </c>
      <c r="M17" s="1">
        <f>5*125700</f>
        <v>628500</v>
      </c>
      <c r="N17" s="1"/>
      <c r="O17" s="1">
        <f>5*45360000</f>
        <v>226800000</v>
      </c>
      <c r="P17" s="1">
        <f>5*253100</f>
        <v>1265500</v>
      </c>
      <c r="Q17" s="1"/>
      <c r="R17" s="1">
        <v>6</v>
      </c>
      <c r="S17" s="1"/>
      <c r="T17" s="1">
        <v>3</v>
      </c>
      <c r="U17" s="1"/>
      <c r="V17" s="1"/>
      <c r="W17" s="1">
        <f>11732/23079*100</f>
        <v>50.834091598422802</v>
      </c>
      <c r="X17" s="1">
        <f>311/23079*100</f>
        <v>1.3475453875817844</v>
      </c>
      <c r="Y17" s="1">
        <f>311/11732*100</f>
        <v>2.6508694169792024</v>
      </c>
      <c r="Z17" s="1">
        <f t="shared" si="5"/>
        <v>325836.47471727547</v>
      </c>
      <c r="AA17" s="40">
        <v>43</v>
      </c>
      <c r="AB17" s="40" t="s">
        <v>50</v>
      </c>
      <c r="AC17" s="40" t="s">
        <v>51</v>
      </c>
      <c r="AD17" s="40" t="s">
        <v>52</v>
      </c>
      <c r="AE17" s="40" t="s">
        <v>53</v>
      </c>
      <c r="AF17" s="1" t="s">
        <v>125</v>
      </c>
      <c r="AG17" s="1" t="s">
        <v>126</v>
      </c>
      <c r="AH17" s="1" t="s">
        <v>56</v>
      </c>
      <c r="AI17" s="1" t="s">
        <v>56</v>
      </c>
      <c r="AJ17" s="40" t="s">
        <v>89</v>
      </c>
      <c r="AK17" s="1" t="s">
        <v>90</v>
      </c>
      <c r="AL17" s="1">
        <v>4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s="8" customFormat="1" ht="15.75" customHeight="1">
      <c r="A18" s="1"/>
      <c r="B18" s="1">
        <v>617192</v>
      </c>
      <c r="C18" s="1" t="s">
        <v>47</v>
      </c>
      <c r="D18" s="1" t="s">
        <v>48</v>
      </c>
      <c r="E18" s="6">
        <v>45896</v>
      </c>
      <c r="F18" s="1" t="s">
        <v>127</v>
      </c>
      <c r="G18" s="6">
        <v>45897</v>
      </c>
      <c r="H18" s="1" t="s">
        <v>128</v>
      </c>
      <c r="I18" s="45">
        <v>10</v>
      </c>
      <c r="J18" s="1">
        <v>1</v>
      </c>
      <c r="K18" s="1">
        <v>9</v>
      </c>
      <c r="L18" s="1">
        <f>5773000*5</f>
        <v>28865000</v>
      </c>
      <c r="M18" s="1">
        <f>281400*5</f>
        <v>1407000</v>
      </c>
      <c r="N18" s="1"/>
      <c r="O18" s="1">
        <f>4887000*5</f>
        <v>24435000</v>
      </c>
      <c r="P18" s="1">
        <f>239800*5</f>
        <v>1199000</v>
      </c>
      <c r="Q18" s="1"/>
      <c r="R18" s="1">
        <v>6</v>
      </c>
      <c r="S18" s="1"/>
      <c r="T18" s="1">
        <v>2</v>
      </c>
      <c r="U18" s="1"/>
      <c r="V18" s="1"/>
      <c r="W18" s="1">
        <f>20838/34035*100</f>
        <v>61.225209343323051</v>
      </c>
      <c r="X18" s="1">
        <f>347/34035*100</f>
        <v>1.0195387101513149</v>
      </c>
      <c r="Y18" s="1">
        <f>347/20838*100</f>
        <v>1.6652269891544293</v>
      </c>
      <c r="Z18" s="1">
        <f t="shared" si="5"/>
        <v>294289.84868517704</v>
      </c>
      <c r="AA18" s="40">
        <v>56</v>
      </c>
      <c r="AB18" s="40" t="s">
        <v>62</v>
      </c>
      <c r="AC18" s="40" t="s">
        <v>51</v>
      </c>
      <c r="AD18" s="40" t="s">
        <v>52</v>
      </c>
      <c r="AE18" s="40" t="s">
        <v>53</v>
      </c>
      <c r="AF18" s="1" t="s">
        <v>54</v>
      </c>
      <c r="AG18" s="1" t="s">
        <v>55</v>
      </c>
      <c r="AH18" s="1" t="s">
        <v>56</v>
      </c>
      <c r="AI18" s="1" t="s">
        <v>56</v>
      </c>
      <c r="AJ18" s="40" t="s">
        <v>129</v>
      </c>
      <c r="AK18" s="1" t="s">
        <v>130</v>
      </c>
      <c r="AL18" s="1">
        <v>3</v>
      </c>
      <c r="AM18" s="8" t="s">
        <v>131</v>
      </c>
    </row>
    <row r="19" spans="1:53" ht="15.75">
      <c r="B19" s="1">
        <v>616204</v>
      </c>
      <c r="C19" s="2" t="s">
        <v>47</v>
      </c>
      <c r="D19" s="2" t="s">
        <v>48</v>
      </c>
      <c r="E19" s="6">
        <v>45806</v>
      </c>
      <c r="F19" s="2" t="s">
        <v>132</v>
      </c>
      <c r="G19" s="6">
        <v>45807</v>
      </c>
      <c r="H19" s="2" t="s">
        <v>133</v>
      </c>
      <c r="I19" s="45">
        <v>8.1999999999999993</v>
      </c>
      <c r="J19" s="1">
        <v>1</v>
      </c>
      <c r="K19" s="1">
        <v>7.2</v>
      </c>
      <c r="L19" s="1">
        <f>5*7758000</f>
        <v>38790000</v>
      </c>
      <c r="M19" s="1">
        <f>5*227400</f>
        <v>1137000</v>
      </c>
      <c r="N19" s="2">
        <f t="shared" ref="N19:N28" si="6">(L19/(L19+M19))*100</f>
        <v>97.152302952889031</v>
      </c>
      <c r="O19" s="1">
        <f>9982000*5</f>
        <v>49910000</v>
      </c>
      <c r="P19" s="1">
        <f>5*11950</f>
        <v>59750</v>
      </c>
      <c r="Q19" s="2">
        <f t="shared" ref="Q19:Q25" si="7">(O19/(O19+P19))*100</f>
        <v>99.880427658733524</v>
      </c>
      <c r="R19" s="1">
        <v>6</v>
      </c>
      <c r="T19" s="1">
        <v>5</v>
      </c>
      <c r="W19" s="2">
        <f>145388/193922*100</f>
        <v>74.972411588164306</v>
      </c>
      <c r="X19" s="1">
        <f>1264/193922*100</f>
        <v>0.65180845907117291</v>
      </c>
      <c r="Y19" s="1">
        <f>1264/145388*100</f>
        <v>0.86939774947038273</v>
      </c>
      <c r="Z19" s="1">
        <f t="shared" si="5"/>
        <v>252836.50127370798</v>
      </c>
      <c r="AA19" s="31">
        <v>56</v>
      </c>
      <c r="AB19" s="31" t="s">
        <v>62</v>
      </c>
      <c r="AC19" s="31" t="s">
        <v>51</v>
      </c>
      <c r="AD19" s="31" t="s">
        <v>52</v>
      </c>
      <c r="AE19" s="31" t="s">
        <v>134</v>
      </c>
      <c r="AF19" s="2" t="s">
        <v>54</v>
      </c>
      <c r="AG19" s="2" t="s">
        <v>55</v>
      </c>
      <c r="AH19" s="2" t="s">
        <v>56</v>
      </c>
      <c r="AI19" s="2" t="s">
        <v>58</v>
      </c>
      <c r="AJ19" s="2" t="s">
        <v>56</v>
      </c>
      <c r="AK19" s="2" t="s">
        <v>56</v>
      </c>
      <c r="AL19" s="2" t="s">
        <v>56</v>
      </c>
    </row>
    <row r="20" spans="1:53" ht="15.75" customHeight="1">
      <c r="B20" s="2">
        <v>615727</v>
      </c>
      <c r="C20" s="2" t="s">
        <v>47</v>
      </c>
      <c r="D20" s="1" t="s">
        <v>48</v>
      </c>
      <c r="E20" s="6">
        <v>45769</v>
      </c>
      <c r="F20" s="1" t="s">
        <v>135</v>
      </c>
      <c r="G20" s="6">
        <v>45770</v>
      </c>
      <c r="H20" s="1" t="s">
        <v>119</v>
      </c>
      <c r="I20" s="45">
        <v>6</v>
      </c>
      <c r="J20" s="1">
        <v>1</v>
      </c>
      <c r="K20" s="1">
        <v>5</v>
      </c>
      <c r="L20" s="1">
        <f>535400*5</f>
        <v>2677000</v>
      </c>
      <c r="M20" s="1">
        <f>3451*5</f>
        <v>17255</v>
      </c>
      <c r="N20" s="2">
        <f t="shared" si="6"/>
        <v>99.359563218774767</v>
      </c>
      <c r="O20" s="1">
        <f>268200*5</f>
        <v>1341000</v>
      </c>
      <c r="P20" s="1">
        <f>354.9*5</f>
        <v>1774.5</v>
      </c>
      <c r="Q20" s="2">
        <f t="shared" si="7"/>
        <v>99.867848250022618</v>
      </c>
      <c r="R20" s="1">
        <v>6</v>
      </c>
      <c r="U20" s="1" t="s">
        <v>99</v>
      </c>
      <c r="W20" s="1">
        <f>5376/11621*100</f>
        <v>46.261079080974099</v>
      </c>
      <c r="X20" s="44">
        <f>877/11621*100</f>
        <v>7.546682729541347</v>
      </c>
      <c r="Y20" s="44">
        <f>877/5376*100</f>
        <v>16.313244047619047</v>
      </c>
      <c r="Z20" s="1">
        <f t="shared" si="5"/>
        <v>202024.69666982186</v>
      </c>
      <c r="AA20" s="23">
        <v>61</v>
      </c>
      <c r="AB20" s="23" t="s">
        <v>62</v>
      </c>
      <c r="AC20" s="23" t="s">
        <v>51</v>
      </c>
      <c r="AD20" s="23" t="s">
        <v>52</v>
      </c>
      <c r="AE20" s="23" t="s">
        <v>136</v>
      </c>
      <c r="AF20" s="1" t="s">
        <v>71</v>
      </c>
      <c r="AG20" s="1" t="s">
        <v>137</v>
      </c>
      <c r="AH20" s="1" t="s">
        <v>56</v>
      </c>
      <c r="AI20" s="1" t="s">
        <v>73</v>
      </c>
      <c r="AJ20" s="1" t="s">
        <v>122</v>
      </c>
      <c r="AK20" s="1" t="s">
        <v>90</v>
      </c>
      <c r="AL20" s="1">
        <v>3</v>
      </c>
    </row>
    <row r="21" spans="1:53" ht="15.75" customHeight="1">
      <c r="A21" s="1" t="s">
        <v>74</v>
      </c>
      <c r="B21" s="1">
        <v>615338</v>
      </c>
      <c r="C21" s="2" t="s">
        <v>47</v>
      </c>
      <c r="D21" s="1" t="s">
        <v>48</v>
      </c>
      <c r="E21" s="6">
        <v>45741</v>
      </c>
      <c r="F21" s="1" t="s">
        <v>86</v>
      </c>
      <c r="G21" s="6">
        <v>45742</v>
      </c>
      <c r="H21" s="1" t="s">
        <v>103</v>
      </c>
      <c r="I21" s="3"/>
      <c r="L21" s="1">
        <f>534200*5</f>
        <v>2671000</v>
      </c>
      <c r="M21" s="1">
        <f>10040*5</f>
        <v>50200</v>
      </c>
      <c r="N21" s="2">
        <f t="shared" si="6"/>
        <v>98.155225635748934</v>
      </c>
      <c r="O21" s="1">
        <f>1350000*5</f>
        <v>6750000</v>
      </c>
      <c r="P21" s="1">
        <f>752.2*5</f>
        <v>3761</v>
      </c>
      <c r="Q21" s="2">
        <f t="shared" si="7"/>
        <v>99.944312509726061</v>
      </c>
      <c r="R21" s="1">
        <v>6</v>
      </c>
      <c r="U21" s="1" t="s">
        <v>99</v>
      </c>
      <c r="W21" s="1">
        <f>111507/183081*100</f>
        <v>60.905828567683152</v>
      </c>
      <c r="X21" s="44">
        <f>10942/183081*100</f>
        <v>5.9765895969543532</v>
      </c>
      <c r="Y21" s="1">
        <f>9.81</f>
        <v>9.81</v>
      </c>
      <c r="Z21" s="1">
        <f t="shared" si="5"/>
        <v>159634.70813465078</v>
      </c>
      <c r="AA21" s="23">
        <v>32</v>
      </c>
      <c r="AB21" s="23" t="s">
        <v>62</v>
      </c>
      <c r="AC21" s="23" t="s">
        <v>51</v>
      </c>
      <c r="AD21" s="23" t="s">
        <v>138</v>
      </c>
      <c r="AE21" s="23" t="s">
        <v>139</v>
      </c>
      <c r="AF21" s="1" t="s">
        <v>54</v>
      </c>
      <c r="AG21" s="1" t="s">
        <v>79</v>
      </c>
      <c r="AH21" s="1" t="s">
        <v>56</v>
      </c>
      <c r="AI21" s="1" t="s">
        <v>56</v>
      </c>
      <c r="AJ21" s="1" t="s">
        <v>140</v>
      </c>
      <c r="AK21" s="1" t="s">
        <v>58</v>
      </c>
      <c r="AL21" s="1">
        <v>4</v>
      </c>
    </row>
    <row r="22" spans="1:53" ht="15.75">
      <c r="B22" s="1">
        <v>616521</v>
      </c>
      <c r="C22" s="1" t="s">
        <v>47</v>
      </c>
      <c r="D22" s="2" t="s">
        <v>48</v>
      </c>
      <c r="E22" s="6">
        <v>45833</v>
      </c>
      <c r="F22" s="1" t="s">
        <v>141</v>
      </c>
      <c r="G22" s="6">
        <v>45834</v>
      </c>
      <c r="H22" s="22"/>
      <c r="I22" s="45">
        <v>8</v>
      </c>
      <c r="J22" s="1">
        <v>1</v>
      </c>
      <c r="K22" s="22"/>
      <c r="L22" s="1">
        <f>5*1101000</f>
        <v>5505000</v>
      </c>
      <c r="M22" s="1">
        <f>5*52080</f>
        <v>260400</v>
      </c>
      <c r="N22" s="2">
        <f t="shared" si="6"/>
        <v>95.483400978249549</v>
      </c>
      <c r="O22" s="1">
        <f>5*1077000</f>
        <v>5385000</v>
      </c>
      <c r="P22" s="1">
        <f>5*12120</f>
        <v>60600</v>
      </c>
      <c r="Q22" s="2">
        <f t="shared" si="7"/>
        <v>98.887174966945793</v>
      </c>
      <c r="R22" s="1">
        <v>6</v>
      </c>
      <c r="U22" s="2" t="s">
        <v>99</v>
      </c>
      <c r="W22" s="34">
        <f>9711/16023*100</f>
        <v>60.606627972289829</v>
      </c>
      <c r="X22" s="35">
        <f>441/16023*100</f>
        <v>2.7522935779816518</v>
      </c>
      <c r="Y22" s="35">
        <f>441/9711*100</f>
        <v>4.5412418906394807</v>
      </c>
      <c r="Z22" s="1">
        <f t="shared" si="5"/>
        <v>151513.76146788991</v>
      </c>
      <c r="AA22" s="31">
        <v>78</v>
      </c>
      <c r="AB22" s="31" t="s">
        <v>50</v>
      </c>
      <c r="AC22" s="31" t="s">
        <v>51</v>
      </c>
      <c r="AD22" s="31" t="s">
        <v>52</v>
      </c>
      <c r="AE22" s="31" t="s">
        <v>142</v>
      </c>
      <c r="AF22" s="2" t="s">
        <v>101</v>
      </c>
      <c r="AG22" s="2" t="s">
        <v>143</v>
      </c>
      <c r="AH22" s="2" t="s">
        <v>56</v>
      </c>
      <c r="AI22" s="2" t="s">
        <v>56</v>
      </c>
      <c r="AJ22" s="2" t="s">
        <v>108</v>
      </c>
      <c r="AK22" s="2" t="s">
        <v>58</v>
      </c>
      <c r="AL22" s="1">
        <v>2</v>
      </c>
    </row>
    <row r="23" spans="1:53" ht="15.75" customHeight="1">
      <c r="B23" s="1">
        <v>616262</v>
      </c>
      <c r="C23" s="1" t="s">
        <v>47</v>
      </c>
      <c r="D23" s="2" t="s">
        <v>48</v>
      </c>
      <c r="E23" s="6">
        <v>45811</v>
      </c>
      <c r="F23" s="1" t="s">
        <v>144</v>
      </c>
      <c r="G23" s="6">
        <v>45812</v>
      </c>
      <c r="H23" s="1" t="s">
        <v>145</v>
      </c>
      <c r="I23" s="45">
        <v>9</v>
      </c>
      <c r="J23" s="1">
        <v>1</v>
      </c>
      <c r="K23" s="1">
        <v>8</v>
      </c>
      <c r="L23" s="1">
        <f>5*812000</f>
        <v>4060000</v>
      </c>
      <c r="M23" s="1">
        <f>5*27120</f>
        <v>135600</v>
      </c>
      <c r="N23" s="2">
        <f t="shared" si="6"/>
        <v>96.768042711411951</v>
      </c>
      <c r="O23" s="1">
        <f>5*2301000</f>
        <v>11505000</v>
      </c>
      <c r="P23" s="1">
        <f>5*4956</f>
        <v>24780</v>
      </c>
      <c r="Q23" s="2">
        <f t="shared" si="7"/>
        <v>99.785078292907585</v>
      </c>
      <c r="R23" s="1">
        <v>6</v>
      </c>
      <c r="U23" s="1" t="s">
        <v>99</v>
      </c>
      <c r="W23" s="2">
        <f>55448/91632*100</f>
        <v>60.511611664047493</v>
      </c>
      <c r="X23" s="1">
        <f>2827/91632*100</f>
        <v>3.0851667539724117</v>
      </c>
      <c r="Y23" s="1">
        <f>2827/55448*100</f>
        <v>5.0984706391574086</v>
      </c>
      <c r="Z23" s="1">
        <f>X23*L23/100</f>
        <v>125257.77021127992</v>
      </c>
      <c r="AA23" s="31">
        <v>74</v>
      </c>
      <c r="AB23" s="31" t="s">
        <v>50</v>
      </c>
      <c r="AC23" s="31" t="s">
        <v>51</v>
      </c>
      <c r="AD23" s="31" t="s">
        <v>52</v>
      </c>
      <c r="AE23" s="31" t="s">
        <v>146</v>
      </c>
      <c r="AF23" s="2" t="s">
        <v>101</v>
      </c>
      <c r="AG23" s="2" t="s">
        <v>147</v>
      </c>
      <c r="AH23" s="2" t="s">
        <v>56</v>
      </c>
      <c r="AI23" s="2" t="s">
        <v>56</v>
      </c>
      <c r="AJ23" s="2" t="s">
        <v>140</v>
      </c>
      <c r="AK23" s="2" t="s">
        <v>58</v>
      </c>
      <c r="AL23" s="1">
        <v>4</v>
      </c>
    </row>
    <row r="24" spans="1:53" s="8" customFormat="1" ht="15.75" customHeight="1">
      <c r="A24" s="1"/>
      <c r="B24" s="2">
        <v>611398</v>
      </c>
      <c r="C24" s="2" t="s">
        <v>47</v>
      </c>
      <c r="D24" s="1" t="s">
        <v>48</v>
      </c>
      <c r="E24" s="4">
        <v>45377</v>
      </c>
      <c r="F24" s="2" t="s">
        <v>148</v>
      </c>
      <c r="G24" s="4">
        <v>45353</v>
      </c>
      <c r="H24" s="2" t="s">
        <v>149</v>
      </c>
      <c r="I24" s="45">
        <v>7.2</v>
      </c>
      <c r="J24" s="2">
        <v>1</v>
      </c>
      <c r="K24" s="2">
        <v>6.2</v>
      </c>
      <c r="L24" s="2">
        <f>7896000*5</f>
        <v>39480000</v>
      </c>
      <c r="M24" s="2">
        <f>17790*5</f>
        <v>88950</v>
      </c>
      <c r="N24" s="2">
        <f t="shared" si="6"/>
        <v>99.775202526223211</v>
      </c>
      <c r="O24" s="2">
        <f>6992000*5</f>
        <v>34960000</v>
      </c>
      <c r="P24" s="2">
        <f>15490*5</f>
        <v>77450</v>
      </c>
      <c r="Q24" s="2">
        <f t="shared" si="7"/>
        <v>99.77895080834935</v>
      </c>
      <c r="R24" s="2">
        <v>9</v>
      </c>
      <c r="S24" s="1"/>
      <c r="T24" s="2">
        <v>3</v>
      </c>
      <c r="U24" s="2" t="s">
        <v>77</v>
      </c>
      <c r="V24" s="2"/>
      <c r="W24" s="1">
        <f>64944/84357*100</f>
        <v>76.987090579323592</v>
      </c>
      <c r="X24" s="1">
        <f>117/84357*100</f>
        <v>0.13869625520110956</v>
      </c>
      <c r="Y24" s="1">
        <f>117/6494*100</f>
        <v>1.8016630736064059</v>
      </c>
      <c r="Z24" s="1">
        <f>X24*L24/100</f>
        <v>54757.281553398054</v>
      </c>
      <c r="AA24" s="23">
        <v>42</v>
      </c>
      <c r="AB24" s="23" t="s">
        <v>50</v>
      </c>
      <c r="AC24" s="23" t="s">
        <v>51</v>
      </c>
      <c r="AD24" s="23" t="s">
        <v>52</v>
      </c>
      <c r="AE24" s="23" t="s">
        <v>150</v>
      </c>
      <c r="AF24" s="1" t="s">
        <v>71</v>
      </c>
      <c r="AG24" s="1" t="s">
        <v>151</v>
      </c>
      <c r="AH24" s="1" t="s">
        <v>90</v>
      </c>
      <c r="AI24" s="1" t="s">
        <v>73</v>
      </c>
      <c r="AJ24" s="1" t="s">
        <v>152</v>
      </c>
      <c r="AK24" s="1" t="s">
        <v>73</v>
      </c>
      <c r="AL24" s="1">
        <v>1</v>
      </c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</row>
    <row r="25" spans="1:53" s="8" customFormat="1" ht="15.75" customHeight="1">
      <c r="A25" s="1" t="s">
        <v>74</v>
      </c>
      <c r="B25" s="2">
        <v>614112</v>
      </c>
      <c r="C25" s="2" t="s">
        <v>47</v>
      </c>
      <c r="D25" s="1" t="s">
        <v>48</v>
      </c>
      <c r="E25" s="6">
        <v>45635</v>
      </c>
      <c r="F25" s="2" t="s">
        <v>153</v>
      </c>
      <c r="G25" s="6">
        <v>45636</v>
      </c>
      <c r="H25" s="1" t="s">
        <v>119</v>
      </c>
      <c r="I25" s="45">
        <v>7.7</v>
      </c>
      <c r="J25" s="1">
        <v>1</v>
      </c>
      <c r="K25" s="1">
        <v>6.7</v>
      </c>
      <c r="L25" s="1">
        <f>5*10140000</f>
        <v>50700000</v>
      </c>
      <c r="M25" s="1">
        <f>34960*5</f>
        <v>174800</v>
      </c>
      <c r="N25" s="2">
        <f t="shared" si="6"/>
        <v>99.656411425696021</v>
      </c>
      <c r="O25" s="1">
        <f>3996000*5</f>
        <v>19980000</v>
      </c>
      <c r="P25" s="1">
        <v>0</v>
      </c>
      <c r="Q25" s="2">
        <f t="shared" si="7"/>
        <v>100</v>
      </c>
      <c r="R25" s="1">
        <v>6</v>
      </c>
      <c r="S25" s="1"/>
      <c r="T25" s="1">
        <v>4</v>
      </c>
      <c r="U25" s="1"/>
      <c r="V25" s="1"/>
      <c r="W25" s="1">
        <v>46.5</v>
      </c>
      <c r="X25" s="1">
        <v>1.84</v>
      </c>
      <c r="Y25" s="1">
        <v>3.97</v>
      </c>
      <c r="Z25" s="1">
        <f>X25*L25/100</f>
        <v>932880</v>
      </c>
      <c r="AA25" s="23">
        <v>51</v>
      </c>
      <c r="AB25" s="23" t="s">
        <v>50</v>
      </c>
      <c r="AC25" s="23" t="s">
        <v>51</v>
      </c>
      <c r="AD25" s="23" t="s">
        <v>52</v>
      </c>
      <c r="AE25" s="23" t="s">
        <v>154</v>
      </c>
      <c r="AF25" s="1" t="s">
        <v>155</v>
      </c>
      <c r="AG25" s="1" t="s">
        <v>72</v>
      </c>
      <c r="AH25" s="1" t="s">
        <v>56</v>
      </c>
      <c r="AI25" s="1" t="s">
        <v>115</v>
      </c>
      <c r="AJ25" s="1" t="s">
        <v>156</v>
      </c>
      <c r="AK25" s="1" t="s">
        <v>58</v>
      </c>
      <c r="AL25" s="1">
        <v>1</v>
      </c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</row>
    <row r="26" spans="1:53" ht="15.75" customHeight="1">
      <c r="A26" s="1" t="s">
        <v>74</v>
      </c>
      <c r="B26" s="2">
        <v>7722</v>
      </c>
      <c r="C26" s="2" t="s">
        <v>47</v>
      </c>
      <c r="D26" s="1" t="s">
        <v>48</v>
      </c>
      <c r="E26" s="6">
        <v>45635</v>
      </c>
      <c r="F26" s="2" t="s">
        <v>157</v>
      </c>
      <c r="G26" s="6">
        <v>45636</v>
      </c>
      <c r="H26" s="1" t="s">
        <v>119</v>
      </c>
      <c r="I26" s="45">
        <v>9.4</v>
      </c>
      <c r="J26" s="1">
        <v>1</v>
      </c>
      <c r="K26" s="1">
        <v>8.4</v>
      </c>
      <c r="L26" s="1">
        <f>5*7292000</f>
        <v>36460000</v>
      </c>
      <c r="M26" s="1">
        <f>179600*5</f>
        <v>898000</v>
      </c>
      <c r="N26" s="2">
        <f t="shared" si="6"/>
        <v>97.596231061620003</v>
      </c>
      <c r="O26" s="1">
        <f>6438000*5</f>
        <v>32190000</v>
      </c>
      <c r="P26" s="1">
        <v>0</v>
      </c>
      <c r="Q26" s="2">
        <f t="shared" ref="Q26:Q28" si="8">(O26/(O26+P26))*100</f>
        <v>100</v>
      </c>
      <c r="R26" s="1">
        <v>6</v>
      </c>
      <c r="T26" s="1">
        <v>3</v>
      </c>
      <c r="W26" s="1">
        <v>66.2</v>
      </c>
      <c r="X26" s="1">
        <v>0.72</v>
      </c>
      <c r="Y26" s="1">
        <v>1.0900000000000001</v>
      </c>
      <c r="Z26" s="1">
        <f>X26*L26/100</f>
        <v>262512</v>
      </c>
      <c r="AA26" s="23">
        <v>76</v>
      </c>
      <c r="AB26" s="23" t="s">
        <v>62</v>
      </c>
      <c r="AC26" s="23" t="s">
        <v>51</v>
      </c>
      <c r="AD26" s="23" t="s">
        <v>52</v>
      </c>
      <c r="AE26" s="23" t="s">
        <v>158</v>
      </c>
      <c r="AF26" s="1" t="s">
        <v>54</v>
      </c>
      <c r="AG26" s="1" t="s">
        <v>55</v>
      </c>
      <c r="AH26" s="1" t="s">
        <v>56</v>
      </c>
      <c r="AI26" s="1" t="s">
        <v>58</v>
      </c>
      <c r="AJ26" s="1" t="s">
        <v>56</v>
      </c>
      <c r="AK26" s="1" t="s">
        <v>56</v>
      </c>
      <c r="AL26" s="1" t="s">
        <v>56</v>
      </c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</row>
    <row r="27" spans="1:53" ht="15.75" customHeight="1">
      <c r="A27" s="1" t="s">
        <v>74</v>
      </c>
      <c r="B27" s="1">
        <v>614957</v>
      </c>
      <c r="C27" s="2" t="s">
        <v>47</v>
      </c>
      <c r="D27" s="1" t="s">
        <v>48</v>
      </c>
      <c r="E27" s="6">
        <v>45713</v>
      </c>
      <c r="F27" s="6" t="s">
        <v>159</v>
      </c>
      <c r="G27" s="6">
        <v>45714</v>
      </c>
      <c r="H27" s="1" t="s">
        <v>160</v>
      </c>
      <c r="I27" s="45">
        <v>5</v>
      </c>
      <c r="J27" s="1">
        <v>1</v>
      </c>
      <c r="K27" s="1">
        <v>4</v>
      </c>
      <c r="L27" s="1">
        <f>5*3625000</f>
        <v>18125000</v>
      </c>
      <c r="M27" s="1">
        <f>5*6062</f>
        <v>30310</v>
      </c>
      <c r="N27" s="2">
        <f t="shared" si="6"/>
        <v>99.833051597576684</v>
      </c>
      <c r="O27" s="1">
        <f>2829000*5</f>
        <v>14145000</v>
      </c>
      <c r="P27" s="1">
        <f>5*32300</f>
        <v>161500</v>
      </c>
      <c r="Q27" s="2">
        <f t="shared" si="8"/>
        <v>98.87114248768043</v>
      </c>
      <c r="R27" s="1">
        <v>6</v>
      </c>
      <c r="T27" s="1">
        <v>1</v>
      </c>
      <c r="U27" s="1" t="s">
        <v>161</v>
      </c>
      <c r="W27" s="1">
        <v>7.49</v>
      </c>
      <c r="X27" s="1">
        <v>0.69</v>
      </c>
      <c r="Y27" s="1">
        <v>9.18</v>
      </c>
      <c r="Z27" s="1">
        <f>X27*L27/100</f>
        <v>125062.49999999999</v>
      </c>
      <c r="AA27" s="23">
        <v>58</v>
      </c>
      <c r="AB27" s="23" t="s">
        <v>50</v>
      </c>
      <c r="AC27" s="23" t="s">
        <v>51</v>
      </c>
      <c r="AD27" s="23" t="s">
        <v>52</v>
      </c>
      <c r="AE27" s="23" t="s">
        <v>162</v>
      </c>
      <c r="AF27" s="1" t="s">
        <v>71</v>
      </c>
      <c r="AG27" s="1" t="s">
        <v>163</v>
      </c>
      <c r="AH27" s="1" t="s">
        <v>90</v>
      </c>
      <c r="AI27" s="1" t="s">
        <v>90</v>
      </c>
      <c r="AJ27" s="1" t="s">
        <v>122</v>
      </c>
      <c r="AK27" s="1" t="s">
        <v>73</v>
      </c>
      <c r="AL27" s="1">
        <v>3</v>
      </c>
    </row>
    <row r="28" spans="1:53" ht="15.75" customHeight="1">
      <c r="A28" s="1" t="s">
        <v>74</v>
      </c>
      <c r="B28" s="1">
        <v>614956</v>
      </c>
      <c r="C28" s="2" t="s">
        <v>47</v>
      </c>
      <c r="D28" s="1" t="s">
        <v>48</v>
      </c>
      <c r="E28" s="6">
        <v>45713</v>
      </c>
      <c r="F28" s="1" t="s">
        <v>86</v>
      </c>
      <c r="G28" s="6">
        <v>45714</v>
      </c>
      <c r="H28" s="1" t="s">
        <v>160</v>
      </c>
      <c r="I28" s="45">
        <v>5</v>
      </c>
      <c r="J28" s="1">
        <v>1</v>
      </c>
      <c r="K28" s="1">
        <v>4</v>
      </c>
      <c r="L28" s="1">
        <f>5*2028000</f>
        <v>10140000</v>
      </c>
      <c r="M28" s="1">
        <f>5*6327</f>
        <v>31635</v>
      </c>
      <c r="N28" s="2">
        <f t="shared" si="6"/>
        <v>99.688988053543014</v>
      </c>
      <c r="O28" s="1">
        <f>4017000*5</f>
        <v>20085000</v>
      </c>
      <c r="P28" s="1">
        <f>5*16810</f>
        <v>84050</v>
      </c>
      <c r="Q28" s="2">
        <f t="shared" si="8"/>
        <v>99.583272390122488</v>
      </c>
      <c r="R28" s="1">
        <v>6</v>
      </c>
      <c r="T28" s="1">
        <v>2</v>
      </c>
      <c r="W28" s="1">
        <v>20.9</v>
      </c>
      <c r="X28" s="1">
        <v>0.91</v>
      </c>
      <c r="Y28" s="1">
        <v>4.37</v>
      </c>
      <c r="Z28" s="1">
        <f>X28*L28/100</f>
        <v>92274</v>
      </c>
      <c r="AA28" s="23">
        <v>51</v>
      </c>
      <c r="AB28" s="23" t="s">
        <v>50</v>
      </c>
      <c r="AC28" s="23" t="s">
        <v>51</v>
      </c>
      <c r="AD28" s="23" t="s">
        <v>52</v>
      </c>
      <c r="AE28" s="23" t="s">
        <v>164</v>
      </c>
      <c r="AF28" s="1" t="s">
        <v>54</v>
      </c>
      <c r="AG28" s="1" t="s">
        <v>79</v>
      </c>
      <c r="AH28" s="1" t="s">
        <v>90</v>
      </c>
      <c r="AI28" s="1" t="s">
        <v>56</v>
      </c>
      <c r="AJ28" s="1" t="s">
        <v>165</v>
      </c>
      <c r="AK28" s="1" t="s">
        <v>73</v>
      </c>
      <c r="AL28" s="1">
        <v>4</v>
      </c>
    </row>
    <row r="29" spans="1:53" ht="15.75" customHeight="1">
      <c r="B29" s="1">
        <v>616689</v>
      </c>
      <c r="C29" s="2" t="s">
        <v>47</v>
      </c>
      <c r="D29" s="2" t="s">
        <v>166</v>
      </c>
      <c r="E29" s="6">
        <v>45852</v>
      </c>
      <c r="F29" s="2" t="s">
        <v>56</v>
      </c>
      <c r="G29" s="6">
        <v>45853</v>
      </c>
      <c r="H29" s="2" t="s">
        <v>98</v>
      </c>
      <c r="I29" s="45">
        <v>5</v>
      </c>
      <c r="J29" s="1">
        <v>1</v>
      </c>
      <c r="K29" s="1">
        <v>4</v>
      </c>
      <c r="L29" s="1">
        <f>5*1323000</f>
        <v>6615000</v>
      </c>
      <c r="M29" s="1">
        <f>5*41240</f>
        <v>206200</v>
      </c>
      <c r="N29" s="2">
        <f>(L29/(L29+M29))*100</f>
        <v>96.977071483023508</v>
      </c>
      <c r="O29" s="1">
        <f>850000*5</f>
        <v>4250000</v>
      </c>
      <c r="P29" s="1">
        <f>3319*5</f>
        <v>16595</v>
      </c>
      <c r="Q29" s="2">
        <f>(O29/(O29+P29))*100</f>
        <v>99.611048154324465</v>
      </c>
      <c r="R29" s="22"/>
      <c r="U29" s="1" t="s">
        <v>99</v>
      </c>
      <c r="W29" s="35">
        <f>9169/27253*100</f>
        <v>33.644002495138146</v>
      </c>
      <c r="X29" s="35">
        <f>701/27253*100</f>
        <v>2.5721938869115326</v>
      </c>
      <c r="Y29" s="35">
        <f>701/9169*100</f>
        <v>7.6453266441269498</v>
      </c>
      <c r="Z29" s="1">
        <f>X29*L29/100</f>
        <v>170150.6256191979</v>
      </c>
      <c r="AA29" s="31">
        <v>82</v>
      </c>
      <c r="AB29" s="31" t="s">
        <v>62</v>
      </c>
      <c r="AC29" s="31" t="s">
        <v>167</v>
      </c>
      <c r="AD29" s="31" t="s">
        <v>52</v>
      </c>
      <c r="AE29" s="31" t="s">
        <v>166</v>
      </c>
      <c r="AF29" s="2" t="s">
        <v>56</v>
      </c>
      <c r="AG29" s="2" t="s">
        <v>56</v>
      </c>
      <c r="AH29" s="2" t="s">
        <v>56</v>
      </c>
      <c r="AI29" s="2" t="s">
        <v>56</v>
      </c>
      <c r="AJ29" s="2" t="s">
        <v>56</v>
      </c>
      <c r="AK29" s="2" t="s">
        <v>56</v>
      </c>
      <c r="AL29" s="2" t="s">
        <v>56</v>
      </c>
    </row>
    <row r="30" spans="1:53" ht="15.75" customHeight="1">
      <c r="A30" s="1" t="s">
        <v>168</v>
      </c>
      <c r="B30" s="1">
        <v>612489</v>
      </c>
      <c r="C30" s="1" t="s">
        <v>47</v>
      </c>
      <c r="D30" s="1" t="s">
        <v>166</v>
      </c>
      <c r="E30" s="6">
        <v>45896</v>
      </c>
      <c r="F30" s="1" t="s">
        <v>169</v>
      </c>
      <c r="G30" s="6">
        <v>45897</v>
      </c>
      <c r="H30" s="1" t="s">
        <v>128</v>
      </c>
      <c r="I30" s="45">
        <v>8.5</v>
      </c>
      <c r="J30" s="1">
        <v>1</v>
      </c>
      <c r="K30" s="1">
        <v>7.5</v>
      </c>
      <c r="L30" s="1">
        <f>4281000*5</f>
        <v>21405000</v>
      </c>
      <c r="M30" s="1">
        <f>466800*5</f>
        <v>2334000</v>
      </c>
      <c r="O30" s="1">
        <f>2436000*5</f>
        <v>12180000</v>
      </c>
      <c r="P30" s="1">
        <f>935000*5</f>
        <v>4675000</v>
      </c>
      <c r="R30" s="1">
        <v>6</v>
      </c>
      <c r="T30" s="1">
        <v>1</v>
      </c>
      <c r="W30" s="1">
        <f>8589/18048*100</f>
        <v>47.589760638297875</v>
      </c>
      <c r="X30" s="1">
        <f>474/18048*100</f>
        <v>2.6263297872340425</v>
      </c>
      <c r="Y30" s="1">
        <f>474/8589*100</f>
        <v>5.5186866922808244</v>
      </c>
      <c r="Z30" s="1">
        <f>X30*L30/100</f>
        <v>562165.89095744677</v>
      </c>
      <c r="AA30" s="40">
        <v>53</v>
      </c>
      <c r="AB30" s="40" t="s">
        <v>62</v>
      </c>
      <c r="AC30" s="40" t="s">
        <v>51</v>
      </c>
      <c r="AD30" s="40" t="s">
        <v>52</v>
      </c>
      <c r="AE30" s="40" t="s">
        <v>170</v>
      </c>
      <c r="AG30" s="2" t="s">
        <v>56</v>
      </c>
      <c r="AH30" s="2" t="s">
        <v>56</v>
      </c>
      <c r="AI30" s="2" t="s">
        <v>56</v>
      </c>
      <c r="AJ30" s="2" t="s">
        <v>56</v>
      </c>
      <c r="AK30" s="2" t="s">
        <v>56</v>
      </c>
      <c r="AL30" s="2" t="s">
        <v>56</v>
      </c>
    </row>
    <row r="31" spans="1:53" ht="15.75" customHeight="1">
      <c r="B31" s="1">
        <v>617188</v>
      </c>
      <c r="C31" s="1" t="s">
        <v>47</v>
      </c>
      <c r="D31" s="1" t="s">
        <v>166</v>
      </c>
      <c r="E31" s="6">
        <v>45895</v>
      </c>
      <c r="F31" s="1" t="s">
        <v>110</v>
      </c>
      <c r="G31" s="6">
        <v>45896</v>
      </c>
      <c r="H31" s="1" t="s">
        <v>87</v>
      </c>
      <c r="I31" s="45">
        <v>7</v>
      </c>
      <c r="J31" s="1">
        <v>1</v>
      </c>
      <c r="K31" s="1">
        <v>6</v>
      </c>
      <c r="L31" s="1">
        <f>1305000*5</f>
        <v>6525000</v>
      </c>
      <c r="M31" s="1">
        <f>52610*5</f>
        <v>263050</v>
      </c>
      <c r="O31" s="1">
        <f>573700*5</f>
        <v>2868500</v>
      </c>
      <c r="P31" s="1">
        <f>4602*5</f>
        <v>23010</v>
      </c>
      <c r="R31" s="1">
        <v>6</v>
      </c>
      <c r="W31" s="1">
        <f>10733/24366*100</f>
        <v>44.04908479028154</v>
      </c>
      <c r="X31" s="1">
        <f>1060/24366*100</f>
        <v>4.3503242222769432</v>
      </c>
      <c r="Y31" s="1">
        <f>1060/10733*100</f>
        <v>9.8760831081710609</v>
      </c>
      <c r="Z31" s="1">
        <f>X31*L31/100</f>
        <v>283858.65550357057</v>
      </c>
      <c r="AA31" s="40">
        <v>78</v>
      </c>
      <c r="AB31" s="40" t="s">
        <v>62</v>
      </c>
      <c r="AC31" s="40" t="s">
        <v>51</v>
      </c>
      <c r="AD31" s="40" t="s">
        <v>52</v>
      </c>
      <c r="AE31" s="40" t="s">
        <v>170</v>
      </c>
      <c r="AG31" s="2" t="s">
        <v>56</v>
      </c>
      <c r="AH31" s="2" t="s">
        <v>56</v>
      </c>
      <c r="AI31" s="2" t="s">
        <v>56</v>
      </c>
      <c r="AJ31" s="2" t="s">
        <v>56</v>
      </c>
      <c r="AK31" s="2" t="s">
        <v>56</v>
      </c>
      <c r="AL31" s="2" t="s">
        <v>56</v>
      </c>
    </row>
    <row r="32" spans="1:53" ht="15.75" customHeight="1">
      <c r="B32" s="1">
        <v>613164</v>
      </c>
      <c r="C32" s="1" t="s">
        <v>47</v>
      </c>
      <c r="D32" s="1" t="s">
        <v>166</v>
      </c>
      <c r="E32" s="6">
        <v>45873</v>
      </c>
      <c r="F32" s="1" t="s">
        <v>171</v>
      </c>
      <c r="G32" s="6">
        <v>45874</v>
      </c>
      <c r="I32" s="3"/>
      <c r="L32" s="1">
        <f>1321000*5</f>
        <v>6605000</v>
      </c>
      <c r="M32" s="1">
        <f>5*24200</f>
        <v>121000</v>
      </c>
      <c r="O32" s="1">
        <f>7138000*5</f>
        <v>35690000</v>
      </c>
      <c r="P32" s="1">
        <f>5*1460</f>
        <v>7300</v>
      </c>
      <c r="W32" s="1">
        <f>18583/24395*100</f>
        <v>76.175445788071329</v>
      </c>
      <c r="X32" s="1">
        <f>2215/24395*100</f>
        <v>9.0797294527567125</v>
      </c>
      <c r="Y32" s="1">
        <f>2215/18583*100</f>
        <v>11.919496313835227</v>
      </c>
      <c r="Z32" s="1">
        <f>X32*L32/100</f>
        <v>599716.13035458094</v>
      </c>
      <c r="AA32" s="40">
        <v>40</v>
      </c>
      <c r="AB32" s="40" t="s">
        <v>62</v>
      </c>
      <c r="AC32" s="40" t="s">
        <v>51</v>
      </c>
      <c r="AD32" s="40" t="s">
        <v>52</v>
      </c>
      <c r="AE32" s="40" t="s">
        <v>170</v>
      </c>
      <c r="AG32" s="2" t="s">
        <v>56</v>
      </c>
      <c r="AH32" s="2" t="s">
        <v>56</v>
      </c>
      <c r="AI32" s="2" t="s">
        <v>56</v>
      </c>
      <c r="AJ32" s="2" t="s">
        <v>56</v>
      </c>
      <c r="AK32" s="2" t="s">
        <v>56</v>
      </c>
      <c r="AL32" s="2" t="s">
        <v>56</v>
      </c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</row>
    <row r="33" spans="1:53" ht="15.75" customHeight="1">
      <c r="B33" s="1">
        <v>612589</v>
      </c>
      <c r="C33" s="1" t="s">
        <v>47</v>
      </c>
      <c r="D33" s="1" t="s">
        <v>166</v>
      </c>
      <c r="E33" s="6">
        <v>45867</v>
      </c>
      <c r="F33" s="37" t="s">
        <v>172</v>
      </c>
      <c r="G33" s="6">
        <v>45868</v>
      </c>
      <c r="H33" s="1" t="s">
        <v>124</v>
      </c>
      <c r="I33" s="45">
        <v>16</v>
      </c>
      <c r="J33" s="1">
        <v>1</v>
      </c>
      <c r="K33" s="1">
        <v>15</v>
      </c>
      <c r="L33" s="1">
        <f>5*3507000</f>
        <v>17535000</v>
      </c>
      <c r="M33" s="1">
        <f>5*181900</f>
        <v>909500</v>
      </c>
      <c r="O33" s="1">
        <f>5*23300000</f>
        <v>116500000</v>
      </c>
      <c r="P33" s="1">
        <f>5*163300</f>
        <v>816500</v>
      </c>
      <c r="R33" s="1">
        <v>6</v>
      </c>
      <c r="T33" s="1">
        <v>3</v>
      </c>
      <c r="W33" s="1">
        <f>3226/6022*100</f>
        <v>53.570242444370642</v>
      </c>
      <c r="X33" s="1">
        <f>117/6022*100</f>
        <v>1.9428761208900698</v>
      </c>
      <c r="Y33" s="1">
        <f>117/3226*100</f>
        <v>3.6267823930564167</v>
      </c>
      <c r="Z33" s="1">
        <f>X33*L33/100</f>
        <v>340683.32779807376</v>
      </c>
      <c r="AA33" s="40">
        <v>42</v>
      </c>
      <c r="AB33" s="40" t="s">
        <v>62</v>
      </c>
      <c r="AC33" s="40" t="s">
        <v>51</v>
      </c>
      <c r="AD33" s="40" t="s">
        <v>52</v>
      </c>
      <c r="AE33" s="40" t="s">
        <v>170</v>
      </c>
      <c r="AG33" s="2" t="s">
        <v>56</v>
      </c>
      <c r="AH33" s="2" t="s">
        <v>56</v>
      </c>
      <c r="AI33" s="2" t="s">
        <v>56</v>
      </c>
      <c r="AJ33" s="2" t="s">
        <v>56</v>
      </c>
      <c r="AK33" s="2" t="s">
        <v>56</v>
      </c>
      <c r="AL33" s="2" t="s">
        <v>56</v>
      </c>
    </row>
    <row r="34" spans="1:53" ht="15.75" customHeight="1">
      <c r="B34" s="1">
        <v>616517</v>
      </c>
      <c r="C34" s="1" t="s">
        <v>47</v>
      </c>
      <c r="D34" s="2" t="s">
        <v>166</v>
      </c>
      <c r="E34" s="6">
        <v>45833</v>
      </c>
      <c r="F34" s="1" t="s">
        <v>173</v>
      </c>
      <c r="G34" s="6">
        <v>45834</v>
      </c>
      <c r="H34" s="22"/>
      <c r="I34" s="45">
        <v>5</v>
      </c>
      <c r="J34" s="1">
        <v>1</v>
      </c>
      <c r="K34" s="22"/>
      <c r="L34" s="1">
        <f>5*576000</f>
        <v>2880000</v>
      </c>
      <c r="M34" s="1">
        <f>25130*5</f>
        <v>125650</v>
      </c>
      <c r="N34" s="2">
        <f t="shared" ref="N34:N45" si="9">(L34/(L34+M34))*100</f>
        <v>95.819539866584606</v>
      </c>
      <c r="O34" s="1">
        <f>5*280400</f>
        <v>1402000</v>
      </c>
      <c r="P34" s="1">
        <f>5*752.2</f>
        <v>3761</v>
      </c>
      <c r="Q34" s="2">
        <f t="shared" ref="Q34:Q45" si="10">(O34/(O34+P34))*100</f>
        <v>99.732458077866724</v>
      </c>
      <c r="R34" s="1">
        <v>6</v>
      </c>
      <c r="U34" s="2" t="s">
        <v>99</v>
      </c>
      <c r="W34" s="2">
        <f>7179/19963*100</f>
        <v>35.961528828332419</v>
      </c>
      <c r="X34" s="1">
        <f>407/19963*100</f>
        <v>2.038771727696238</v>
      </c>
      <c r="Y34" s="1">
        <f>407/7179*100</f>
        <v>5.6693132748293635</v>
      </c>
      <c r="Z34" s="1">
        <f>X34*L34/100</f>
        <v>58716.625757651658</v>
      </c>
      <c r="AA34" s="31">
        <v>57</v>
      </c>
      <c r="AB34" s="31" t="s">
        <v>62</v>
      </c>
      <c r="AC34" s="31" t="s">
        <v>51</v>
      </c>
      <c r="AD34" s="31" t="s">
        <v>52</v>
      </c>
      <c r="AE34" s="31" t="s">
        <v>166</v>
      </c>
      <c r="AF34" s="2" t="s">
        <v>56</v>
      </c>
      <c r="AG34" s="2" t="s">
        <v>56</v>
      </c>
      <c r="AH34" s="2" t="s">
        <v>56</v>
      </c>
      <c r="AI34" s="2" t="s">
        <v>56</v>
      </c>
      <c r="AJ34" s="2" t="s">
        <v>56</v>
      </c>
      <c r="AK34" s="2" t="s">
        <v>56</v>
      </c>
      <c r="AL34" s="2" t="s">
        <v>56</v>
      </c>
    </row>
    <row r="35" spans="1:53" ht="15.75" customHeight="1">
      <c r="B35" s="1">
        <v>616352</v>
      </c>
      <c r="C35" s="1" t="s">
        <v>47</v>
      </c>
      <c r="D35" s="2" t="s">
        <v>166</v>
      </c>
      <c r="E35" s="6">
        <v>45817</v>
      </c>
      <c r="F35" s="1" t="s">
        <v>174</v>
      </c>
      <c r="G35" s="6">
        <v>45818</v>
      </c>
      <c r="H35" s="1" t="s">
        <v>119</v>
      </c>
      <c r="I35" s="45">
        <v>9</v>
      </c>
      <c r="J35" s="1">
        <v>1</v>
      </c>
      <c r="K35" s="1">
        <v>8</v>
      </c>
      <c r="L35" s="1">
        <f>5*786000</f>
        <v>3930000</v>
      </c>
      <c r="M35" s="1">
        <f>5*3407</f>
        <v>17035</v>
      </c>
      <c r="N35" s="2">
        <f t="shared" si="9"/>
        <v>99.568410211715886</v>
      </c>
      <c r="O35" s="1">
        <f>5*1650000</f>
        <v>8250000</v>
      </c>
      <c r="P35" s="1">
        <f>5*1858</f>
        <v>9290</v>
      </c>
      <c r="Q35" s="2">
        <f t="shared" si="10"/>
        <v>99.887520598017517</v>
      </c>
      <c r="R35" s="1">
        <v>6</v>
      </c>
      <c r="U35" s="1" t="s">
        <v>99</v>
      </c>
      <c r="W35" s="2">
        <f>12202/21523*100</f>
        <v>56.692840217441812</v>
      </c>
      <c r="X35" s="1">
        <f>3083/21523*100</f>
        <v>14.324211308832414</v>
      </c>
      <c r="Y35" s="1">
        <f>3083/12202*100</f>
        <v>25.266349778724802</v>
      </c>
      <c r="Z35" s="1">
        <f>X35*L35/100</f>
        <v>562941.50443711388</v>
      </c>
      <c r="AA35" s="31">
        <v>56</v>
      </c>
      <c r="AB35" s="31" t="s">
        <v>62</v>
      </c>
      <c r="AC35" s="31" t="s">
        <v>51</v>
      </c>
      <c r="AD35" s="31" t="s">
        <v>52</v>
      </c>
      <c r="AE35" s="31" t="s">
        <v>166</v>
      </c>
      <c r="AF35" s="2" t="s">
        <v>56</v>
      </c>
      <c r="AG35" s="2" t="s">
        <v>56</v>
      </c>
      <c r="AH35" s="2" t="s">
        <v>56</v>
      </c>
      <c r="AI35" s="2" t="s">
        <v>56</v>
      </c>
      <c r="AJ35" s="2" t="s">
        <v>56</v>
      </c>
      <c r="AK35" s="2" t="s">
        <v>56</v>
      </c>
      <c r="AL35" s="2" t="s">
        <v>56</v>
      </c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</row>
    <row r="36" spans="1:53" ht="15.75" customHeight="1">
      <c r="B36" s="1">
        <v>616322</v>
      </c>
      <c r="C36" s="1" t="s">
        <v>47</v>
      </c>
      <c r="D36" s="2" t="s">
        <v>166</v>
      </c>
      <c r="E36" s="6">
        <v>45813</v>
      </c>
      <c r="F36" s="1" t="s">
        <v>175</v>
      </c>
      <c r="G36" s="6">
        <v>45814</v>
      </c>
      <c r="H36" s="1" t="s">
        <v>160</v>
      </c>
      <c r="I36" s="45">
        <v>7</v>
      </c>
      <c r="J36" s="1">
        <v>1</v>
      </c>
      <c r="K36" s="1">
        <v>6</v>
      </c>
      <c r="L36" s="1">
        <f>5*768000</f>
        <v>3840000</v>
      </c>
      <c r="M36" s="1">
        <f>5*24560</f>
        <v>122800</v>
      </c>
      <c r="N36" s="2">
        <f t="shared" si="9"/>
        <v>96.901180983143234</v>
      </c>
      <c r="O36" s="1">
        <f>5*978600</f>
        <v>4893000</v>
      </c>
      <c r="P36" s="1">
        <f>5*17740</f>
        <v>88700</v>
      </c>
      <c r="Q36" s="2">
        <f t="shared" si="10"/>
        <v>98.219483308910611</v>
      </c>
      <c r="R36" s="1">
        <v>6</v>
      </c>
      <c r="U36" s="2" t="s">
        <v>99</v>
      </c>
      <c r="W36" s="2">
        <f>14549/24481*100</f>
        <v>59.429761856133325</v>
      </c>
      <c r="X36" s="1">
        <f>1097/24481*100</f>
        <v>4.4810261018749236</v>
      </c>
      <c r="Y36" s="1">
        <f>1097/14549*100</f>
        <v>7.5400371159529866</v>
      </c>
      <c r="Z36" s="1">
        <f>X36*L36/100</f>
        <v>172071.40231199708</v>
      </c>
      <c r="AA36" s="31">
        <v>62</v>
      </c>
      <c r="AB36" s="31" t="s">
        <v>62</v>
      </c>
      <c r="AC36" s="31" t="s">
        <v>51</v>
      </c>
      <c r="AD36" s="31" t="s">
        <v>52</v>
      </c>
      <c r="AE36" s="31" t="s">
        <v>166</v>
      </c>
      <c r="AF36" s="2" t="s">
        <v>56</v>
      </c>
      <c r="AG36" s="2" t="s">
        <v>56</v>
      </c>
      <c r="AH36" s="2" t="s">
        <v>56</v>
      </c>
      <c r="AI36" s="2" t="s">
        <v>56</v>
      </c>
      <c r="AJ36" s="2" t="s">
        <v>56</v>
      </c>
      <c r="AK36" s="2" t="s">
        <v>56</v>
      </c>
      <c r="AL36" s="2" t="s">
        <v>56</v>
      </c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</row>
    <row r="37" spans="1:53" s="12" customFormat="1" ht="15.75" customHeight="1">
      <c r="A37" s="1"/>
      <c r="B37" s="1">
        <v>608925</v>
      </c>
      <c r="C37" s="2" t="s">
        <v>47</v>
      </c>
      <c r="D37" s="2" t="s">
        <v>166</v>
      </c>
      <c r="E37" s="6">
        <v>45806</v>
      </c>
      <c r="F37" s="2" t="s">
        <v>176</v>
      </c>
      <c r="G37" s="6">
        <v>45807</v>
      </c>
      <c r="H37" s="2" t="s">
        <v>133</v>
      </c>
      <c r="I37" s="45">
        <v>8.6999999999999993</v>
      </c>
      <c r="J37" s="1">
        <v>1</v>
      </c>
      <c r="K37" s="1">
        <v>7.7</v>
      </c>
      <c r="L37" s="1">
        <f>8628000*5</f>
        <v>43140000</v>
      </c>
      <c r="M37" s="1">
        <f>5*103500</f>
        <v>517500</v>
      </c>
      <c r="N37" s="2">
        <f t="shared" si="9"/>
        <v>98.81463666036764</v>
      </c>
      <c r="O37" s="1">
        <f>4369000*5</f>
        <v>21845000</v>
      </c>
      <c r="P37" s="1">
        <f>24340*5</f>
        <v>121700</v>
      </c>
      <c r="Q37" s="2">
        <f t="shared" si="10"/>
        <v>99.44597959638908</v>
      </c>
      <c r="R37" s="1">
        <v>6</v>
      </c>
      <c r="S37" s="1"/>
      <c r="T37" s="1">
        <v>2</v>
      </c>
      <c r="U37" s="1"/>
      <c r="V37" s="1"/>
      <c r="W37" s="2">
        <f>39220/91458*100</f>
        <v>42.883072011196397</v>
      </c>
      <c r="X37" s="1">
        <f>1118/91458*100</f>
        <v>1.2224190338734719</v>
      </c>
      <c r="Y37" s="1">
        <f>1118/39220*100</f>
        <v>2.850586435492096</v>
      </c>
      <c r="Z37" s="1">
        <f>X37*L37/100</f>
        <v>527351.57121301582</v>
      </c>
      <c r="AA37" s="31">
        <v>52</v>
      </c>
      <c r="AB37" s="31" t="s">
        <v>62</v>
      </c>
      <c r="AC37" s="31" t="s">
        <v>167</v>
      </c>
      <c r="AD37" s="31" t="s">
        <v>52</v>
      </c>
      <c r="AE37" s="31" t="s">
        <v>166</v>
      </c>
      <c r="AF37" s="2" t="s">
        <v>56</v>
      </c>
      <c r="AG37" s="2" t="s">
        <v>56</v>
      </c>
      <c r="AH37" s="2" t="s">
        <v>56</v>
      </c>
      <c r="AI37" s="2" t="s">
        <v>56</v>
      </c>
      <c r="AJ37" s="2" t="s">
        <v>56</v>
      </c>
      <c r="AK37" s="2" t="s">
        <v>56</v>
      </c>
      <c r="AL37" s="2" t="s">
        <v>56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ht="15.75" customHeight="1">
      <c r="B38" s="1" t="s">
        <v>177</v>
      </c>
      <c r="C38" s="2" t="s">
        <v>47</v>
      </c>
      <c r="D38" s="1" t="s">
        <v>166</v>
      </c>
      <c r="E38" s="6">
        <v>45769</v>
      </c>
      <c r="F38" s="1" t="s">
        <v>178</v>
      </c>
      <c r="G38" s="6">
        <v>45770</v>
      </c>
      <c r="H38" s="1" t="s">
        <v>119</v>
      </c>
      <c r="I38" s="45">
        <v>10</v>
      </c>
      <c r="J38" s="1">
        <v>1</v>
      </c>
      <c r="K38" s="1">
        <v>9</v>
      </c>
      <c r="L38" s="1">
        <f>499200*5</f>
        <v>2496000</v>
      </c>
      <c r="M38" s="1">
        <f>5*8142</f>
        <v>40710</v>
      </c>
      <c r="N38" s="2">
        <f t="shared" si="9"/>
        <v>98.395165391392794</v>
      </c>
      <c r="O38" s="1">
        <f>1154000*5</f>
        <v>5770000</v>
      </c>
      <c r="P38" s="1">
        <f>2876*5</f>
        <v>14380</v>
      </c>
      <c r="Q38" s="2">
        <f t="shared" si="10"/>
        <v>99.751399458541798</v>
      </c>
      <c r="R38" s="1">
        <v>6</v>
      </c>
      <c r="T38" s="1">
        <v>1</v>
      </c>
      <c r="W38" s="1">
        <f>17086/37572*100</f>
        <v>45.475353987011601</v>
      </c>
      <c r="X38" s="1">
        <f>534/37572*100</f>
        <v>1.4212711593740019</v>
      </c>
      <c r="Y38" s="1">
        <f>534/17086*100</f>
        <v>3.1253657965585857</v>
      </c>
      <c r="Z38" s="1">
        <f>X38*L38/100</f>
        <v>35474.92813797509</v>
      </c>
      <c r="AA38" s="23">
        <v>59</v>
      </c>
      <c r="AB38" s="23" t="s">
        <v>62</v>
      </c>
      <c r="AC38" s="23" t="s">
        <v>51</v>
      </c>
      <c r="AD38" s="23" t="s">
        <v>52</v>
      </c>
      <c r="AE38" s="1" t="s">
        <v>166</v>
      </c>
      <c r="AF38" s="1" t="s">
        <v>56</v>
      </c>
      <c r="AG38" s="1" t="s">
        <v>56</v>
      </c>
      <c r="AH38" s="1" t="s">
        <v>56</v>
      </c>
      <c r="AI38" s="1" t="s">
        <v>56</v>
      </c>
      <c r="AJ38" s="1" t="s">
        <v>56</v>
      </c>
      <c r="AK38" s="1" t="s">
        <v>56</v>
      </c>
      <c r="AL38" s="1" t="s">
        <v>56</v>
      </c>
    </row>
    <row r="39" spans="1:53" ht="15.75" customHeight="1">
      <c r="B39" s="1">
        <v>615632</v>
      </c>
      <c r="C39" s="2" t="s">
        <v>47</v>
      </c>
      <c r="D39" s="1" t="s">
        <v>166</v>
      </c>
      <c r="E39" s="6">
        <v>45762</v>
      </c>
      <c r="F39" s="2" t="s">
        <v>56</v>
      </c>
      <c r="G39" s="30">
        <v>45763</v>
      </c>
      <c r="H39" s="20"/>
      <c r="I39" s="21"/>
      <c r="J39" s="22"/>
      <c r="K39" s="22"/>
      <c r="L39" s="22"/>
      <c r="M39" s="22"/>
      <c r="N39" s="2" t="e">
        <f t="shared" si="9"/>
        <v>#DIV/0!</v>
      </c>
      <c r="O39" s="22"/>
      <c r="P39" s="22"/>
      <c r="Q39" s="2" t="e">
        <f t="shared" si="10"/>
        <v>#DIV/0!</v>
      </c>
      <c r="R39" s="22"/>
      <c r="T39" s="22"/>
      <c r="U39" s="22"/>
      <c r="W39" s="1">
        <f>23495/54045*100</f>
        <v>43.473031732815251</v>
      </c>
      <c r="X39" s="1">
        <f>2307/54045*100</f>
        <v>4.2686650013877321</v>
      </c>
      <c r="Y39" s="1">
        <f>2307/23495*100</f>
        <v>9.8191104490317098</v>
      </c>
      <c r="Z39" s="1">
        <f>X39*L39/100</f>
        <v>0</v>
      </c>
      <c r="AA39" s="23">
        <v>60</v>
      </c>
      <c r="AB39" s="23" t="s">
        <v>62</v>
      </c>
      <c r="AC39" s="23" t="s">
        <v>51</v>
      </c>
      <c r="AD39" s="23" t="s">
        <v>52</v>
      </c>
      <c r="AE39" s="1" t="s">
        <v>166</v>
      </c>
      <c r="AF39" s="1" t="s">
        <v>56</v>
      </c>
      <c r="AG39" s="1" t="s">
        <v>56</v>
      </c>
      <c r="AH39" s="1" t="s">
        <v>56</v>
      </c>
      <c r="AI39" s="1" t="s">
        <v>56</v>
      </c>
      <c r="AJ39" s="1" t="s">
        <v>56</v>
      </c>
      <c r="AK39" s="1" t="s">
        <v>56</v>
      </c>
      <c r="AL39" s="1" t="s">
        <v>56</v>
      </c>
    </row>
    <row r="40" spans="1:53" s="8" customFormat="1" ht="15.75" customHeight="1">
      <c r="A40" s="1"/>
      <c r="B40" s="2">
        <v>24364</v>
      </c>
      <c r="C40" s="2" t="s">
        <v>47</v>
      </c>
      <c r="D40" s="1" t="s">
        <v>166</v>
      </c>
      <c r="E40" s="6">
        <v>45761</v>
      </c>
      <c r="F40" s="1" t="s">
        <v>179</v>
      </c>
      <c r="G40" s="6">
        <v>45762</v>
      </c>
      <c r="H40" s="1" t="s">
        <v>110</v>
      </c>
      <c r="I40" s="45">
        <v>9</v>
      </c>
      <c r="J40" s="1">
        <v>1</v>
      </c>
      <c r="K40" s="1">
        <v>8</v>
      </c>
      <c r="L40" s="1">
        <f>428800*5</f>
        <v>2144000</v>
      </c>
      <c r="M40" s="1">
        <f>1661*5</f>
        <v>8305</v>
      </c>
      <c r="N40" s="2">
        <f t="shared" si="9"/>
        <v>99.614134613820994</v>
      </c>
      <c r="O40" s="1">
        <f>519100*5</f>
        <v>2595500</v>
      </c>
      <c r="P40" s="1">
        <f>3097*5</f>
        <v>15485</v>
      </c>
      <c r="Q40" s="2">
        <f t="shared" si="10"/>
        <v>99.406928802731528</v>
      </c>
      <c r="R40" s="1">
        <v>6</v>
      </c>
      <c r="S40" s="1"/>
      <c r="T40" s="1"/>
      <c r="U40" s="1" t="s">
        <v>180</v>
      </c>
      <c r="V40" s="1"/>
      <c r="W40" s="1">
        <f>13536/28134*100</f>
        <v>48.112603966730646</v>
      </c>
      <c r="X40" s="1">
        <f>763/28134*100</f>
        <v>2.7120210421553992</v>
      </c>
      <c r="Y40" s="1">
        <f>763/13536*100</f>
        <v>5.6368203309692673</v>
      </c>
      <c r="Z40" s="1">
        <f>X40*L40/100</f>
        <v>58145.731143811754</v>
      </c>
      <c r="AA40" s="23">
        <v>81</v>
      </c>
      <c r="AB40" s="23" t="s">
        <v>62</v>
      </c>
      <c r="AC40" s="23" t="s">
        <v>51</v>
      </c>
      <c r="AD40" s="23" t="s">
        <v>52</v>
      </c>
      <c r="AE40" s="1" t="s">
        <v>166</v>
      </c>
      <c r="AF40" s="1" t="s">
        <v>56</v>
      </c>
      <c r="AG40" s="1" t="s">
        <v>56</v>
      </c>
      <c r="AH40" s="1" t="s">
        <v>56</v>
      </c>
      <c r="AI40" s="1" t="s">
        <v>56</v>
      </c>
      <c r="AJ40" s="1" t="s">
        <v>56</v>
      </c>
      <c r="AK40" s="1" t="s">
        <v>56</v>
      </c>
      <c r="AL40" s="1" t="s">
        <v>56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s="8" customFormat="1" ht="15.75">
      <c r="A41" s="1"/>
      <c r="B41" s="2">
        <v>615565</v>
      </c>
      <c r="C41" s="2" t="s">
        <v>47</v>
      </c>
      <c r="D41" s="1" t="s">
        <v>166</v>
      </c>
      <c r="E41" s="6">
        <v>45757</v>
      </c>
      <c r="F41" s="1" t="s">
        <v>181</v>
      </c>
      <c r="G41" s="6">
        <v>45758</v>
      </c>
      <c r="H41" s="1" t="s">
        <v>182</v>
      </c>
      <c r="I41" s="45">
        <v>10</v>
      </c>
      <c r="J41" s="1">
        <v>1</v>
      </c>
      <c r="K41" s="1">
        <v>9</v>
      </c>
      <c r="L41" s="1">
        <f>6267000*5</f>
        <v>31335000</v>
      </c>
      <c r="M41" s="1">
        <f>154900*5</f>
        <v>774500</v>
      </c>
      <c r="N41" s="2">
        <f t="shared" si="9"/>
        <v>97.587941263489</v>
      </c>
      <c r="O41" s="1">
        <f>1105000*5</f>
        <v>5525000</v>
      </c>
      <c r="P41" s="1">
        <f>3097*5</f>
        <v>15485</v>
      </c>
      <c r="Q41" s="2">
        <f t="shared" si="10"/>
        <v>99.720511832447883</v>
      </c>
      <c r="R41" s="1">
        <v>6</v>
      </c>
      <c r="S41" s="1"/>
      <c r="T41" s="1"/>
      <c r="U41" s="1" t="s">
        <v>99</v>
      </c>
      <c r="V41" s="1"/>
      <c r="W41" s="1">
        <f>20314/32406*100</f>
        <v>62.685922360056779</v>
      </c>
      <c r="X41" s="1">
        <f>769/32406*100</f>
        <v>2.3730173424674441</v>
      </c>
      <c r="Y41" s="1">
        <f>769/20314*100</f>
        <v>3.7855666043122969</v>
      </c>
      <c r="Z41" s="1">
        <f>X41*L41/100</f>
        <v>743584.98426217365</v>
      </c>
      <c r="AA41" s="23">
        <v>48</v>
      </c>
      <c r="AB41" s="23" t="s">
        <v>50</v>
      </c>
      <c r="AC41" s="23" t="s">
        <v>51</v>
      </c>
      <c r="AD41" s="23" t="s">
        <v>52</v>
      </c>
      <c r="AE41" s="1" t="s">
        <v>166</v>
      </c>
      <c r="AF41" s="1" t="s">
        <v>56</v>
      </c>
      <c r="AG41" s="1" t="s">
        <v>56</v>
      </c>
      <c r="AH41" s="1" t="s">
        <v>56</v>
      </c>
      <c r="AI41" s="1" t="s">
        <v>56</v>
      </c>
      <c r="AJ41" s="1" t="s">
        <v>56</v>
      </c>
      <c r="AK41" s="1" t="s">
        <v>56</v>
      </c>
      <c r="AL41" s="1" t="s">
        <v>56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s="12" customFormat="1" ht="15.75" customHeight="1">
      <c r="A42" s="1" t="s">
        <v>74</v>
      </c>
      <c r="B42" s="1">
        <v>615349</v>
      </c>
      <c r="C42" s="2" t="s">
        <v>47</v>
      </c>
      <c r="D42" s="1" t="s">
        <v>166</v>
      </c>
      <c r="E42" s="6">
        <v>45741</v>
      </c>
      <c r="F42" s="1" t="s">
        <v>183</v>
      </c>
      <c r="G42" s="6">
        <v>45742</v>
      </c>
      <c r="H42" s="1" t="s">
        <v>103</v>
      </c>
      <c r="I42" s="3"/>
      <c r="J42" s="1">
        <v>1</v>
      </c>
      <c r="K42" s="1"/>
      <c r="L42" s="1">
        <f>511300*5</f>
        <v>2556500</v>
      </c>
      <c r="M42" s="1">
        <f>5044*5</f>
        <v>25220</v>
      </c>
      <c r="N42" s="2">
        <f t="shared" si="9"/>
        <v>99.02313186557798</v>
      </c>
      <c r="O42" s="1">
        <f>1398000*5</f>
        <v>6990000</v>
      </c>
      <c r="P42" s="1">
        <f>5*10930</f>
        <v>54650</v>
      </c>
      <c r="Q42" s="2">
        <f t="shared" si="10"/>
        <v>99.224233993172135</v>
      </c>
      <c r="R42" s="1">
        <v>6</v>
      </c>
      <c r="S42" s="1"/>
      <c r="T42" s="1"/>
      <c r="U42" s="1" t="s">
        <v>99</v>
      </c>
      <c r="V42" s="1"/>
      <c r="W42" s="1">
        <f>78792/204871*100</f>
        <v>38.459323183857158</v>
      </c>
      <c r="X42" s="1">
        <f>1994/204871*100</f>
        <v>0.97329539075808669</v>
      </c>
      <c r="Y42" s="1">
        <v>2.5299999999999998</v>
      </c>
      <c r="Z42" s="1">
        <f>X42*L42/100</f>
        <v>24882.296664730486</v>
      </c>
      <c r="AA42" s="23">
        <v>28</v>
      </c>
      <c r="AB42" s="23" t="s">
        <v>50</v>
      </c>
      <c r="AC42" s="23" t="s">
        <v>184</v>
      </c>
      <c r="AD42" s="23" t="s">
        <v>138</v>
      </c>
      <c r="AE42" s="1" t="s">
        <v>166</v>
      </c>
      <c r="AF42" s="1" t="s">
        <v>56</v>
      </c>
      <c r="AG42" s="1" t="s">
        <v>56</v>
      </c>
      <c r="AH42" s="1" t="s">
        <v>56</v>
      </c>
      <c r="AI42" s="1" t="s">
        <v>56</v>
      </c>
      <c r="AJ42" s="1" t="s">
        <v>56</v>
      </c>
      <c r="AK42" s="1" t="s">
        <v>56</v>
      </c>
      <c r="AL42" s="1" t="s">
        <v>56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s="26" customFormat="1" ht="15.75" customHeight="1">
      <c r="A43" s="26" t="s">
        <v>74</v>
      </c>
      <c r="B43" s="26">
        <v>609149</v>
      </c>
      <c r="C43" s="41" t="s">
        <v>47</v>
      </c>
      <c r="D43" s="26" t="s">
        <v>166</v>
      </c>
      <c r="E43" s="42">
        <v>45713</v>
      </c>
      <c r="F43" s="41" t="s">
        <v>185</v>
      </c>
      <c r="G43" s="42">
        <v>45714</v>
      </c>
      <c r="H43" s="26" t="s">
        <v>160</v>
      </c>
      <c r="I43" s="46">
        <v>9</v>
      </c>
      <c r="J43" s="26">
        <v>1</v>
      </c>
      <c r="K43" s="26">
        <v>8</v>
      </c>
      <c r="L43" s="26">
        <f>2464000*5</f>
        <v>12320000</v>
      </c>
      <c r="M43" s="26">
        <f>5*6779</f>
        <v>33895</v>
      </c>
      <c r="N43" s="41">
        <f t="shared" si="9"/>
        <v>99.725633089806891</v>
      </c>
      <c r="O43" s="26">
        <f>5*6348000</f>
        <v>31740000</v>
      </c>
      <c r="P43" s="26">
        <f>5*24780</f>
        <v>123900</v>
      </c>
      <c r="Q43" s="41">
        <f t="shared" si="10"/>
        <v>99.611158709385862</v>
      </c>
      <c r="R43" s="26">
        <v>6</v>
      </c>
      <c r="T43" s="26">
        <v>3</v>
      </c>
      <c r="W43" s="26">
        <v>61.2</v>
      </c>
      <c r="X43" s="26">
        <f>72/10818*100</f>
        <v>0.66555740432612309</v>
      </c>
      <c r="Y43" s="26">
        <v>1.0900000000000001</v>
      </c>
      <c r="Z43" s="26">
        <f>X43*L43/100</f>
        <v>81996.672212978374</v>
      </c>
      <c r="AA43" s="43">
        <v>78</v>
      </c>
      <c r="AB43" s="43" t="s">
        <v>50</v>
      </c>
      <c r="AC43" s="43" t="s">
        <v>51</v>
      </c>
      <c r="AD43" s="43" t="s">
        <v>52</v>
      </c>
      <c r="AE43" s="26" t="s">
        <v>166</v>
      </c>
      <c r="AF43" s="26" t="s">
        <v>56</v>
      </c>
      <c r="AG43" s="26" t="s">
        <v>56</v>
      </c>
      <c r="AH43" s="26" t="s">
        <v>56</v>
      </c>
      <c r="AI43" s="26" t="s">
        <v>56</v>
      </c>
      <c r="AJ43" s="26" t="s">
        <v>56</v>
      </c>
      <c r="AK43" s="26" t="s">
        <v>56</v>
      </c>
      <c r="AL43" s="26" t="s">
        <v>56</v>
      </c>
    </row>
    <row r="44" spans="1:53" ht="15.75" customHeight="1">
      <c r="A44" s="1" t="s">
        <v>74</v>
      </c>
      <c r="B44" s="1">
        <v>7420</v>
      </c>
      <c r="C44" s="2" t="s">
        <v>47</v>
      </c>
      <c r="D44" s="1" t="s">
        <v>166</v>
      </c>
      <c r="E44" s="6">
        <v>45713</v>
      </c>
      <c r="F44" s="2" t="s">
        <v>186</v>
      </c>
      <c r="G44" s="6">
        <v>45714</v>
      </c>
      <c r="H44" s="1" t="s">
        <v>160</v>
      </c>
      <c r="I44" s="45">
        <v>9</v>
      </c>
      <c r="J44" s="1">
        <v>1</v>
      </c>
      <c r="K44" s="1">
        <v>8</v>
      </c>
      <c r="L44" s="1">
        <f>2521000*5</f>
        <v>12605000</v>
      </c>
      <c r="M44" s="1">
        <f>5*10710</f>
        <v>53550</v>
      </c>
      <c r="N44" s="2">
        <f t="shared" si="9"/>
        <v>99.57696576622125</v>
      </c>
      <c r="O44" s="1">
        <f>5*7394000</f>
        <v>36970000</v>
      </c>
      <c r="P44" s="1">
        <f>5*67260</f>
        <v>336300</v>
      </c>
      <c r="Q44" s="2">
        <f t="shared" si="10"/>
        <v>99.098543677609413</v>
      </c>
      <c r="R44" s="1">
        <v>6</v>
      </c>
      <c r="T44" s="1">
        <v>3</v>
      </c>
      <c r="W44" s="1">
        <v>57.7</v>
      </c>
      <c r="X44" s="1">
        <f>864/61042*100</f>
        <v>1.415418891910488</v>
      </c>
      <c r="Y44" s="1">
        <v>2.4500000000000002</v>
      </c>
      <c r="Z44" s="1">
        <f>X44*L44/100</f>
        <v>178413.55132531704</v>
      </c>
      <c r="AA44" s="23">
        <v>51</v>
      </c>
      <c r="AB44" s="23" t="s">
        <v>62</v>
      </c>
      <c r="AC44" s="23" t="s">
        <v>51</v>
      </c>
      <c r="AD44" s="23" t="s">
        <v>52</v>
      </c>
      <c r="AE44" s="1" t="s">
        <v>166</v>
      </c>
      <c r="AF44" s="1" t="s">
        <v>56</v>
      </c>
      <c r="AG44" s="1" t="s">
        <v>56</v>
      </c>
      <c r="AH44" s="1" t="s">
        <v>56</v>
      </c>
      <c r="AI44" s="1" t="s">
        <v>56</v>
      </c>
      <c r="AJ44" s="1" t="s">
        <v>56</v>
      </c>
      <c r="AK44" s="1" t="s">
        <v>56</v>
      </c>
      <c r="AL44" s="1" t="s">
        <v>56</v>
      </c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</row>
    <row r="45" spans="1:53" ht="15.75" customHeight="1">
      <c r="A45" s="1" t="s">
        <v>74</v>
      </c>
      <c r="B45" s="1">
        <v>610891</v>
      </c>
      <c r="C45" s="2" t="s">
        <v>47</v>
      </c>
      <c r="D45" s="1" t="s">
        <v>166</v>
      </c>
      <c r="E45" s="6">
        <v>45678</v>
      </c>
      <c r="F45" s="2" t="s">
        <v>187</v>
      </c>
      <c r="G45" s="6">
        <v>45679</v>
      </c>
      <c r="H45" s="1" t="s">
        <v>82</v>
      </c>
      <c r="I45" s="45">
        <v>9</v>
      </c>
      <c r="J45" s="1">
        <v>1</v>
      </c>
      <c r="K45" s="1">
        <v>8</v>
      </c>
      <c r="L45" s="1">
        <f>5*11830000</f>
        <v>59150000</v>
      </c>
      <c r="M45" s="1">
        <f>35840*5</f>
        <v>179200</v>
      </c>
      <c r="N45" s="2">
        <f t="shared" si="9"/>
        <v>99.697956486856384</v>
      </c>
      <c r="O45" s="1">
        <f>489400*5</f>
        <v>2447000</v>
      </c>
      <c r="P45" s="1">
        <f>112800*5</f>
        <v>564000</v>
      </c>
      <c r="Q45" s="2">
        <f t="shared" si="10"/>
        <v>81.268681501162405</v>
      </c>
      <c r="R45" s="1">
        <v>6</v>
      </c>
      <c r="T45" s="1">
        <v>3</v>
      </c>
      <c r="W45" s="1">
        <v>33.4</v>
      </c>
      <c r="X45" s="1">
        <v>0.38</v>
      </c>
      <c r="Y45" s="1">
        <v>1.1299999999999999</v>
      </c>
      <c r="Z45" s="1">
        <f>X45*L45/100</f>
        <v>224770</v>
      </c>
      <c r="AA45" s="23">
        <v>59</v>
      </c>
      <c r="AB45" s="23" t="s">
        <v>62</v>
      </c>
      <c r="AC45" s="23" t="s">
        <v>51</v>
      </c>
      <c r="AD45" s="23" t="s">
        <v>52</v>
      </c>
      <c r="AE45" s="1" t="s">
        <v>166</v>
      </c>
      <c r="AF45" s="1" t="s">
        <v>56</v>
      </c>
      <c r="AG45" s="1" t="s">
        <v>56</v>
      </c>
      <c r="AH45" s="1" t="s">
        <v>56</v>
      </c>
      <c r="AI45" s="1" t="s">
        <v>56</v>
      </c>
      <c r="AJ45" s="1" t="s">
        <v>56</v>
      </c>
      <c r="AK45" s="1" t="s">
        <v>56</v>
      </c>
      <c r="AL45" s="1" t="s">
        <v>56</v>
      </c>
    </row>
    <row r="46" spans="1:53" s="12" customFormat="1" ht="15.75" customHeight="1">
      <c r="A46" s="1" t="s">
        <v>74</v>
      </c>
      <c r="B46" s="2">
        <v>8980</v>
      </c>
      <c r="C46" s="2" t="s">
        <v>47</v>
      </c>
      <c r="D46" s="2" t="s">
        <v>166</v>
      </c>
      <c r="E46" s="6">
        <v>45635</v>
      </c>
      <c r="F46" s="2" t="s">
        <v>188</v>
      </c>
      <c r="G46" s="6">
        <v>45636</v>
      </c>
      <c r="H46" s="1" t="s">
        <v>119</v>
      </c>
      <c r="I46" s="45">
        <v>8.5</v>
      </c>
      <c r="J46" s="1">
        <v>1</v>
      </c>
      <c r="K46" s="1">
        <v>7.5</v>
      </c>
      <c r="L46" s="1">
        <f>5*10390000</f>
        <v>51950000</v>
      </c>
      <c r="M46" s="1">
        <f>12840*5</f>
        <v>64200</v>
      </c>
      <c r="N46" s="2">
        <f>(L46/(L46+M46))*100</f>
        <v>99.876572166831366</v>
      </c>
      <c r="O46" s="1">
        <f>3765000*5</f>
        <v>18825000</v>
      </c>
      <c r="P46" s="1">
        <v>0</v>
      </c>
      <c r="Q46" s="2">
        <f>(O46/(O46+P46))*100</f>
        <v>100</v>
      </c>
      <c r="R46" s="1">
        <v>6</v>
      </c>
      <c r="S46" s="1"/>
      <c r="T46" s="1">
        <v>2</v>
      </c>
      <c r="U46" s="1"/>
      <c r="V46" s="1"/>
      <c r="W46" s="1">
        <v>26.9</v>
      </c>
      <c r="X46" s="1">
        <v>0.35</v>
      </c>
      <c r="Y46" s="1">
        <v>1.32</v>
      </c>
      <c r="Z46" s="1">
        <f>X46*L46/100</f>
        <v>181825</v>
      </c>
      <c r="AA46" s="23">
        <v>46</v>
      </c>
      <c r="AB46" s="23" t="s">
        <v>62</v>
      </c>
      <c r="AC46" s="23" t="s">
        <v>51</v>
      </c>
      <c r="AD46" s="23" t="s">
        <v>52</v>
      </c>
      <c r="AE46" s="1" t="s">
        <v>166</v>
      </c>
      <c r="AF46" s="1" t="s">
        <v>56</v>
      </c>
      <c r="AG46" s="1" t="s">
        <v>56</v>
      </c>
      <c r="AH46" s="1" t="s">
        <v>56</v>
      </c>
      <c r="AI46" s="1" t="s">
        <v>56</v>
      </c>
      <c r="AJ46" s="1" t="s">
        <v>56</v>
      </c>
      <c r="AK46" s="1" t="s">
        <v>56</v>
      </c>
      <c r="AL46" s="1" t="s">
        <v>56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8" spans="1:53" ht="15.75"/>
    <row r="53" spans="1:38" ht="15.75" customHeight="1">
      <c r="E53" s="6"/>
      <c r="G53" s="6"/>
      <c r="I53" s="3"/>
    </row>
    <row r="54" spans="1:38" ht="15.75" customHeight="1">
      <c r="I54" s="3"/>
    </row>
    <row r="55" spans="1:38" ht="15.75">
      <c r="A55" s="1" t="s">
        <v>189</v>
      </c>
      <c r="B55" s="1">
        <v>614969</v>
      </c>
      <c r="C55" s="2" t="s">
        <v>47</v>
      </c>
      <c r="E55" s="6">
        <v>45712</v>
      </c>
      <c r="F55" s="1" t="s">
        <v>190</v>
      </c>
      <c r="G55" s="6">
        <v>45714</v>
      </c>
      <c r="I55" s="3"/>
      <c r="N55" s="2" t="e">
        <f>(L55/(L55+M55))*100</f>
        <v>#DIV/0!</v>
      </c>
      <c r="Q55" s="2" t="e">
        <f>(O55/(O55+P55))*100</f>
        <v>#DIV/0!</v>
      </c>
      <c r="V55" s="1" t="s">
        <v>191</v>
      </c>
      <c r="Z55" s="1">
        <f>X55*L55/100</f>
        <v>0</v>
      </c>
      <c r="AL55" s="22"/>
    </row>
    <row r="56" spans="1:38" ht="15.75">
      <c r="A56" s="1" t="s">
        <v>189</v>
      </c>
      <c r="B56" s="1">
        <v>614967</v>
      </c>
      <c r="C56" s="2" t="s">
        <v>47</v>
      </c>
      <c r="E56" s="6">
        <v>45712</v>
      </c>
      <c r="F56" s="1" t="s">
        <v>192</v>
      </c>
      <c r="G56" s="6">
        <v>45714</v>
      </c>
      <c r="I56" s="3"/>
      <c r="N56" s="2" t="e">
        <f>(L56/(L56+M56))*100</f>
        <v>#DIV/0!</v>
      </c>
      <c r="Q56" s="2" t="e">
        <f>(O56/(O56+P56))*100</f>
        <v>#DIV/0!</v>
      </c>
      <c r="V56" s="1" t="s">
        <v>191</v>
      </c>
      <c r="Z56" s="1">
        <f>X56*L56/100</f>
        <v>0</v>
      </c>
      <c r="AL56" s="22"/>
    </row>
    <row r="57" spans="1:38" ht="15.75">
      <c r="A57" s="1" t="s">
        <v>189</v>
      </c>
      <c r="B57" s="1">
        <v>614952</v>
      </c>
      <c r="C57" s="2" t="s">
        <v>47</v>
      </c>
      <c r="E57" s="6">
        <v>45712</v>
      </c>
      <c r="F57" s="1" t="s">
        <v>113</v>
      </c>
      <c r="G57" s="6">
        <v>45714</v>
      </c>
      <c r="I57" s="3"/>
      <c r="N57" s="2" t="e">
        <f>(L57/(L57+M57))*100</f>
        <v>#DIV/0!</v>
      </c>
      <c r="Q57" s="2" t="e">
        <f>(O57/(O57+P57))*100</f>
        <v>#DIV/0!</v>
      </c>
      <c r="V57" s="1" t="s">
        <v>191</v>
      </c>
      <c r="Z57" s="1">
        <f>X57*L57/100</f>
        <v>0</v>
      </c>
      <c r="AL57" s="22"/>
    </row>
    <row r="58" spans="1:38" ht="15.75" customHeight="1">
      <c r="A58" s="8" t="s">
        <v>193</v>
      </c>
      <c r="B58" s="8">
        <v>615410</v>
      </c>
      <c r="C58" s="11" t="s">
        <v>47</v>
      </c>
      <c r="D58" s="8" t="s">
        <v>48</v>
      </c>
      <c r="E58" s="9">
        <v>45748</v>
      </c>
      <c r="F58" s="8" t="s">
        <v>173</v>
      </c>
      <c r="G58" s="9">
        <v>45749</v>
      </c>
      <c r="H58" s="8" t="s">
        <v>103</v>
      </c>
      <c r="I58" s="10" t="s">
        <v>194</v>
      </c>
      <c r="J58" s="8">
        <v>1</v>
      </c>
      <c r="K58" s="8">
        <v>9</v>
      </c>
      <c r="L58" s="8">
        <f>388600*5</f>
        <v>1943000</v>
      </c>
      <c r="M58" s="8">
        <f>10840*5</f>
        <v>54200</v>
      </c>
      <c r="N58" s="11">
        <f>(L58/(L58+M58))*100</f>
        <v>97.286200680953343</v>
      </c>
      <c r="O58" s="8">
        <f>504600*5</f>
        <v>2523000</v>
      </c>
      <c r="P58" s="8">
        <f>796.5*5</f>
        <v>3982.5</v>
      </c>
      <c r="Q58" s="11">
        <f>(O58/(O58+P58))*100</f>
        <v>99.842400966369965</v>
      </c>
      <c r="R58" s="8">
        <v>3</v>
      </c>
      <c r="S58" s="8"/>
      <c r="T58" s="8"/>
      <c r="U58" s="8">
        <v>6</v>
      </c>
      <c r="V58" s="8" t="s">
        <v>195</v>
      </c>
      <c r="W58" s="8">
        <f>25461/240766*100</f>
        <v>10.574998130965335</v>
      </c>
      <c r="X58" s="44">
        <f>198/240766*100</f>
        <v>8.2237525231967964E-2</v>
      </c>
      <c r="Y58" s="44">
        <v>0.78</v>
      </c>
      <c r="Z58" s="44"/>
      <c r="AA58" s="24">
        <v>55</v>
      </c>
      <c r="AB58" s="24" t="s">
        <v>50</v>
      </c>
      <c r="AC58" s="24" t="s">
        <v>51</v>
      </c>
      <c r="AD58" s="24" t="s">
        <v>52</v>
      </c>
      <c r="AE58" s="24" t="s">
        <v>196</v>
      </c>
      <c r="AF58" s="8" t="s">
        <v>71</v>
      </c>
      <c r="AG58" s="8" t="s">
        <v>79</v>
      </c>
      <c r="AH58" s="8" t="s">
        <v>56</v>
      </c>
      <c r="AI58" s="8" t="s">
        <v>90</v>
      </c>
      <c r="AJ58" s="8" t="s">
        <v>56</v>
      </c>
      <c r="AK58" s="8" t="s">
        <v>56</v>
      </c>
      <c r="AL58" s="8" t="s">
        <v>56</v>
      </c>
    </row>
    <row r="59" spans="1:38" ht="15.75" customHeight="1">
      <c r="A59" s="8" t="s">
        <v>193</v>
      </c>
      <c r="B59" s="11">
        <v>614198</v>
      </c>
      <c r="C59" s="11" t="s">
        <v>47</v>
      </c>
      <c r="D59" s="8" t="s">
        <v>48</v>
      </c>
      <c r="E59" s="9">
        <v>45642</v>
      </c>
      <c r="F59" s="11" t="s">
        <v>197</v>
      </c>
      <c r="G59" s="9">
        <v>45643</v>
      </c>
      <c r="H59" s="8" t="s">
        <v>87</v>
      </c>
      <c r="I59" s="10" t="s">
        <v>198</v>
      </c>
      <c r="J59" s="8">
        <v>1</v>
      </c>
      <c r="K59" s="8">
        <v>7.7</v>
      </c>
      <c r="L59" s="8">
        <f>9106000*5</f>
        <v>45530000</v>
      </c>
      <c r="M59" s="8">
        <v>0</v>
      </c>
      <c r="N59" s="11">
        <f>(L59/(L59+M59))*100</f>
        <v>100</v>
      </c>
      <c r="O59" s="8">
        <f>6608000*5</f>
        <v>33040000</v>
      </c>
      <c r="P59" s="8">
        <f>86020*5</f>
        <v>430100</v>
      </c>
      <c r="Q59" s="11">
        <f>(O59/(O59+P59))*100</f>
        <v>98.714972467963946</v>
      </c>
      <c r="R59" s="8">
        <v>6</v>
      </c>
      <c r="S59" s="8"/>
      <c r="T59" s="8">
        <v>3</v>
      </c>
      <c r="U59" s="8" t="s">
        <v>199</v>
      </c>
      <c r="V59" s="8" t="s">
        <v>200</v>
      </c>
      <c r="W59" s="8">
        <f>9924/84057*100</f>
        <v>11.806274313858452</v>
      </c>
      <c r="X59" s="44">
        <f>349/84057*100</f>
        <v>0.41519445138417976</v>
      </c>
      <c r="Y59" s="44">
        <f>349/9924*100</f>
        <v>3.5167271261588069</v>
      </c>
      <c r="Z59" s="44"/>
      <c r="AA59" s="24">
        <v>73</v>
      </c>
      <c r="AB59" s="24" t="s">
        <v>50</v>
      </c>
      <c r="AC59" s="24" t="s">
        <v>51</v>
      </c>
      <c r="AD59" s="24" t="s">
        <v>52</v>
      </c>
      <c r="AE59" s="24" t="s">
        <v>201</v>
      </c>
      <c r="AF59" s="8" t="s">
        <v>54</v>
      </c>
      <c r="AG59" s="8" t="s">
        <v>202</v>
      </c>
      <c r="AH59" s="8" t="s">
        <v>56</v>
      </c>
      <c r="AI59" s="8" t="s">
        <v>58</v>
      </c>
      <c r="AJ59" s="8" t="s">
        <v>56</v>
      </c>
      <c r="AK59" s="8" t="s">
        <v>56</v>
      </c>
      <c r="AL59" s="8" t="s">
        <v>56</v>
      </c>
    </row>
    <row r="60" spans="1:38" s="12" customFormat="1" ht="15.75">
      <c r="A60" s="8" t="s">
        <v>203</v>
      </c>
      <c r="B60" s="8">
        <v>614216</v>
      </c>
      <c r="C60" s="11" t="s">
        <v>47</v>
      </c>
      <c r="D60" s="8"/>
      <c r="E60" s="9">
        <v>45643</v>
      </c>
      <c r="F60" s="11" t="s">
        <v>127</v>
      </c>
      <c r="G60" s="9">
        <v>45644</v>
      </c>
      <c r="H60" s="8" t="s">
        <v>160</v>
      </c>
      <c r="I60" s="10" t="s">
        <v>204</v>
      </c>
      <c r="J60" s="8">
        <v>1</v>
      </c>
      <c r="K60" s="8">
        <v>1.9</v>
      </c>
      <c r="L60" s="8">
        <f>5*5694000</f>
        <v>28470000</v>
      </c>
      <c r="M60" s="8">
        <f>5*792700</f>
        <v>3963500</v>
      </c>
      <c r="N60" s="11">
        <f>(L60/(L60+M60))*100</f>
        <v>87.779610587818141</v>
      </c>
      <c r="O60" s="8">
        <f>5*7236000</f>
        <v>36180000</v>
      </c>
      <c r="P60" s="8">
        <f>5*11500</f>
        <v>57500</v>
      </c>
      <c r="Q60" s="11">
        <f>(O60/(O60+P60))*100</f>
        <v>99.841324594687819</v>
      </c>
      <c r="R60" s="8">
        <v>0</v>
      </c>
      <c r="S60" s="8"/>
      <c r="T60" s="8">
        <v>3</v>
      </c>
      <c r="U60" s="8"/>
      <c r="V60" s="8" t="s">
        <v>205</v>
      </c>
      <c r="W60" s="8"/>
      <c r="X60" s="8"/>
      <c r="Y60" s="8"/>
      <c r="Z60" s="1">
        <f>X60*L60/100</f>
        <v>0</v>
      </c>
      <c r="AA60" s="1"/>
      <c r="AB60" s="1"/>
      <c r="AC60" s="1"/>
      <c r="AD60" s="1"/>
      <c r="AE60" s="1"/>
      <c r="AL60" s="22"/>
    </row>
    <row r="61" spans="1:38" s="12" customFormat="1" ht="15.75">
      <c r="A61" s="8" t="s">
        <v>203</v>
      </c>
      <c r="B61" s="8">
        <v>8150</v>
      </c>
      <c r="C61" s="11" t="s">
        <v>47</v>
      </c>
      <c r="D61" s="8"/>
      <c r="E61" s="9">
        <v>45643</v>
      </c>
      <c r="F61" s="11" t="s">
        <v>206</v>
      </c>
      <c r="G61" s="9">
        <v>45644</v>
      </c>
      <c r="H61" s="8" t="s">
        <v>160</v>
      </c>
      <c r="I61" s="10" t="s">
        <v>207</v>
      </c>
      <c r="J61" s="8">
        <v>1</v>
      </c>
      <c r="K61" s="8">
        <v>8.1</v>
      </c>
      <c r="L61" s="8">
        <f>5*6024000</f>
        <v>30120000</v>
      </c>
      <c r="M61" s="8">
        <f>5*9336</f>
        <v>46680</v>
      </c>
      <c r="N61" s="11">
        <f>(L61/(L61+M61))*100</f>
        <v>99.845259736901767</v>
      </c>
      <c r="O61" s="8">
        <f>25070000*5</f>
        <v>125350000</v>
      </c>
      <c r="P61" s="8">
        <f>269000*5</f>
        <v>1345000</v>
      </c>
      <c r="Q61" s="11">
        <f>(O61/(O61+P61))*100</f>
        <v>98.93839535893288</v>
      </c>
      <c r="R61" s="8">
        <v>6</v>
      </c>
      <c r="S61" s="8"/>
      <c r="T61" s="8">
        <v>6</v>
      </c>
      <c r="U61" s="8"/>
      <c r="V61" s="8" t="s">
        <v>205</v>
      </c>
      <c r="W61" s="8" t="s">
        <v>208</v>
      </c>
      <c r="X61" s="8" t="s">
        <v>209</v>
      </c>
      <c r="Y61" s="8" t="s">
        <v>210</v>
      </c>
      <c r="Z61" s="1">
        <f>X61*L61/100</f>
        <v>331.32</v>
      </c>
      <c r="AA61" s="1"/>
      <c r="AB61" s="1"/>
      <c r="AC61" s="1"/>
      <c r="AD61" s="1"/>
      <c r="AE61" s="1"/>
      <c r="AL61" s="22"/>
    </row>
    <row r="62" spans="1:38" s="12" customFormat="1" ht="15.75">
      <c r="A62" s="8" t="s">
        <v>203</v>
      </c>
      <c r="B62" s="8">
        <v>614224</v>
      </c>
      <c r="C62" s="11" t="s">
        <v>47</v>
      </c>
      <c r="D62" s="8"/>
      <c r="E62" s="9">
        <v>45643</v>
      </c>
      <c r="F62" s="11" t="s">
        <v>211</v>
      </c>
      <c r="G62" s="9">
        <v>45644</v>
      </c>
      <c r="H62" s="8" t="s">
        <v>160</v>
      </c>
      <c r="I62" s="10" t="s">
        <v>212</v>
      </c>
      <c r="J62" s="8">
        <v>1</v>
      </c>
      <c r="K62" s="8">
        <v>8.8000000000000007</v>
      </c>
      <c r="L62" s="8">
        <f>5*5474000</f>
        <v>27370000</v>
      </c>
      <c r="M62" s="8">
        <f>5*1370000</f>
        <v>6850000</v>
      </c>
      <c r="N62" s="11">
        <f>(L62/(L62+M62))*100</f>
        <v>79.982466393921683</v>
      </c>
      <c r="O62" s="8">
        <f>5*18770000</f>
        <v>93850000</v>
      </c>
      <c r="P62" s="8">
        <f>5*108400</f>
        <v>542000</v>
      </c>
      <c r="Q62" s="11">
        <f>(O62/(O62+P62))*100</f>
        <v>99.425798796508175</v>
      </c>
      <c r="R62" s="8">
        <v>6</v>
      </c>
      <c r="S62" s="8"/>
      <c r="T62" s="8">
        <v>6</v>
      </c>
      <c r="U62" s="8"/>
      <c r="V62" s="8" t="s">
        <v>205</v>
      </c>
      <c r="W62" s="8"/>
      <c r="X62" s="8"/>
      <c r="Y62" s="8"/>
      <c r="Z62" s="1">
        <f>X62*L62/100</f>
        <v>0</v>
      </c>
      <c r="AL62" s="22"/>
    </row>
    <row r="63" spans="1:38" s="7" customFormat="1" ht="15.75">
      <c r="A63" s="12" t="s">
        <v>189</v>
      </c>
      <c r="B63" s="12">
        <v>614393</v>
      </c>
      <c r="C63" s="15" t="s">
        <v>47</v>
      </c>
      <c r="D63" s="12"/>
      <c r="E63" s="13">
        <v>45670</v>
      </c>
      <c r="F63" s="15" t="s">
        <v>213</v>
      </c>
      <c r="G63" s="13">
        <v>45672</v>
      </c>
      <c r="H63" s="15" t="s">
        <v>214</v>
      </c>
      <c r="I63" s="14"/>
      <c r="J63" s="12"/>
      <c r="K63" s="12"/>
      <c r="L63" s="12"/>
      <c r="M63" s="12"/>
      <c r="N63" s="15" t="e">
        <f>(L63/(L63+M63))*100</f>
        <v>#DIV/0!</v>
      </c>
      <c r="O63" s="12"/>
      <c r="P63" s="12"/>
      <c r="Q63" s="15" t="e">
        <f>(O63/(O63+P63))*100</f>
        <v>#DIV/0!</v>
      </c>
      <c r="R63" s="12"/>
      <c r="S63" s="12"/>
      <c r="T63" s="12"/>
      <c r="U63" s="12"/>
      <c r="V63" s="12" t="s">
        <v>191</v>
      </c>
      <c r="W63" s="12"/>
      <c r="X63" s="12"/>
      <c r="Y63" s="12"/>
      <c r="Z63" s="1">
        <f>X63*L63/100</f>
        <v>0</v>
      </c>
      <c r="AA63" s="8"/>
      <c r="AB63" s="8"/>
      <c r="AC63" s="8"/>
      <c r="AD63" s="8"/>
      <c r="AE63" s="8"/>
      <c r="AL63" s="22"/>
    </row>
    <row r="64" spans="1:38" s="12" customFormat="1" ht="15.75">
      <c r="A64" s="12" t="s">
        <v>189</v>
      </c>
      <c r="B64" s="15">
        <v>614402</v>
      </c>
      <c r="C64" s="15" t="s">
        <v>47</v>
      </c>
      <c r="E64" s="13">
        <v>45671</v>
      </c>
      <c r="F64" s="15" t="s">
        <v>215</v>
      </c>
      <c r="G64" s="13">
        <v>45673</v>
      </c>
      <c r="H64" s="12" t="s">
        <v>119</v>
      </c>
      <c r="I64" s="14"/>
      <c r="N64" s="15" t="e">
        <f>(L64/(L64+M64))*100</f>
        <v>#DIV/0!</v>
      </c>
      <c r="Q64" s="15" t="e">
        <f>(O64/(O64+P64))*100</f>
        <v>#DIV/0!</v>
      </c>
      <c r="V64" s="12" t="s">
        <v>191</v>
      </c>
      <c r="Z64" s="1">
        <f>X64*L64/100</f>
        <v>0</v>
      </c>
      <c r="AA64" s="1"/>
      <c r="AB64" s="1"/>
      <c r="AC64" s="1"/>
      <c r="AD64" s="1"/>
      <c r="AE64" s="1"/>
      <c r="AL64" s="22"/>
    </row>
    <row r="65" spans="1:38" s="7" customFormat="1" ht="15.75">
      <c r="A65" s="12" t="s">
        <v>189</v>
      </c>
      <c r="B65" s="15">
        <v>15515</v>
      </c>
      <c r="C65" s="15" t="s">
        <v>47</v>
      </c>
      <c r="D65" s="12"/>
      <c r="E65" s="13">
        <v>45671</v>
      </c>
      <c r="F65" s="15" t="s">
        <v>216</v>
      </c>
      <c r="G65" s="13">
        <v>45673</v>
      </c>
      <c r="H65" s="12" t="s">
        <v>119</v>
      </c>
      <c r="I65" s="14"/>
      <c r="J65" s="12"/>
      <c r="K65" s="12"/>
      <c r="L65" s="12"/>
      <c r="M65" s="12"/>
      <c r="N65" s="15" t="e">
        <f>(L65/(L65+M65))*100</f>
        <v>#DIV/0!</v>
      </c>
      <c r="O65" s="12"/>
      <c r="P65" s="12"/>
      <c r="Q65" s="15" t="e">
        <f>(O65/(O65+P65))*100</f>
        <v>#DIV/0!</v>
      </c>
      <c r="R65" s="12"/>
      <c r="S65" s="12"/>
      <c r="T65" s="12"/>
      <c r="U65" s="12"/>
      <c r="V65" s="12" t="s">
        <v>191</v>
      </c>
      <c r="W65" s="12"/>
      <c r="X65" s="12"/>
      <c r="Y65" s="12"/>
      <c r="Z65" s="1">
        <f>X65*L65/100</f>
        <v>0</v>
      </c>
      <c r="AA65" s="1"/>
      <c r="AB65" s="1"/>
      <c r="AC65" s="1"/>
      <c r="AD65" s="1"/>
      <c r="AE65" s="1"/>
      <c r="AL65" s="22"/>
    </row>
    <row r="66" spans="1:38" s="7" customFormat="1" ht="15.75">
      <c r="A66" s="12" t="s">
        <v>189</v>
      </c>
      <c r="B66" s="15">
        <v>614408</v>
      </c>
      <c r="C66" s="15" t="s">
        <v>47</v>
      </c>
      <c r="D66" s="12"/>
      <c r="E66" s="13">
        <v>45671</v>
      </c>
      <c r="F66" s="15" t="s">
        <v>217</v>
      </c>
      <c r="G66" s="13">
        <v>45673</v>
      </c>
      <c r="H66" s="12" t="s">
        <v>119</v>
      </c>
      <c r="I66" s="14"/>
      <c r="J66" s="12"/>
      <c r="K66" s="12"/>
      <c r="L66" s="12"/>
      <c r="M66" s="12"/>
      <c r="N66" s="15" t="e">
        <f>(L66/(L66+M66))*100</f>
        <v>#DIV/0!</v>
      </c>
      <c r="O66" s="12"/>
      <c r="P66" s="12"/>
      <c r="Q66" s="15" t="e">
        <f>(O66/(O66+P66))*100</f>
        <v>#DIV/0!</v>
      </c>
      <c r="R66" s="12"/>
      <c r="S66" s="12"/>
      <c r="T66" s="12"/>
      <c r="U66" s="12"/>
      <c r="V66" s="12" t="s">
        <v>191</v>
      </c>
      <c r="W66" s="12"/>
      <c r="X66" s="12"/>
      <c r="Y66" s="12"/>
      <c r="Z66" s="1">
        <f>X66*L66/100</f>
        <v>0</v>
      </c>
      <c r="AA66" s="12"/>
      <c r="AB66" s="12"/>
      <c r="AC66" s="12"/>
      <c r="AD66" s="12"/>
      <c r="AE66" s="12"/>
      <c r="AL66" s="22"/>
    </row>
    <row r="67" spans="1:38" s="12" customFormat="1" ht="15.75">
      <c r="A67" s="12" t="s">
        <v>189</v>
      </c>
      <c r="B67" s="12" t="s">
        <v>218</v>
      </c>
      <c r="C67" s="15" t="s">
        <v>47</v>
      </c>
      <c r="E67" s="13">
        <v>45671</v>
      </c>
      <c r="F67" s="15" t="s">
        <v>217</v>
      </c>
      <c r="G67" s="13">
        <v>45673</v>
      </c>
      <c r="H67" s="12" t="s">
        <v>119</v>
      </c>
      <c r="I67" s="14"/>
      <c r="N67" s="15" t="e">
        <f>(L67/(L67+M67))*100</f>
        <v>#DIV/0!</v>
      </c>
      <c r="Q67" s="15" t="e">
        <f>(O67/(O67+P67))*100</f>
        <v>#DIV/0!</v>
      </c>
      <c r="V67" s="12" t="s">
        <v>219</v>
      </c>
      <c r="Z67" s="1">
        <f>X67*L67/100</f>
        <v>0</v>
      </c>
      <c r="AL67" s="22"/>
    </row>
    <row r="68" spans="1:38" s="12" customFormat="1" ht="15.75">
      <c r="A68" s="12" t="s">
        <v>189</v>
      </c>
      <c r="B68" s="12">
        <v>614405</v>
      </c>
      <c r="C68" s="15" t="s">
        <v>47</v>
      </c>
      <c r="E68" s="13">
        <v>45671</v>
      </c>
      <c r="F68" s="15" t="s">
        <v>67</v>
      </c>
      <c r="G68" s="13">
        <v>45673</v>
      </c>
      <c r="H68" s="12" t="s">
        <v>119</v>
      </c>
      <c r="I68" s="14"/>
      <c r="N68" s="15" t="e">
        <f>(L68/(L68+M68))*100</f>
        <v>#DIV/0!</v>
      </c>
      <c r="Q68" s="15" t="e">
        <f>(O68/(O68+P68))*100</f>
        <v>#DIV/0!</v>
      </c>
      <c r="V68" s="12" t="s">
        <v>191</v>
      </c>
      <c r="Z68" s="1">
        <f>X68*L68/100</f>
        <v>0</v>
      </c>
      <c r="AL68" s="22"/>
    </row>
    <row r="69" spans="1:38" s="12" customFormat="1" ht="15.75">
      <c r="A69" s="12" t="s">
        <v>189</v>
      </c>
      <c r="B69" s="12">
        <v>614434</v>
      </c>
      <c r="C69" s="15" t="s">
        <v>47</v>
      </c>
      <c r="E69" s="13">
        <v>45672</v>
      </c>
      <c r="F69" s="15" t="s">
        <v>220</v>
      </c>
      <c r="G69" s="13">
        <v>45674</v>
      </c>
      <c r="H69" s="15" t="s">
        <v>221</v>
      </c>
      <c r="I69" s="14"/>
      <c r="N69" s="15" t="e">
        <f>(L69/(L69+M69))*100</f>
        <v>#DIV/0!</v>
      </c>
      <c r="Q69" s="15" t="e">
        <f>(O69/(O69+P69))*100</f>
        <v>#DIV/0!</v>
      </c>
      <c r="V69" s="12" t="s">
        <v>191</v>
      </c>
      <c r="Z69" s="1">
        <f>X69*L69/100</f>
        <v>0</v>
      </c>
      <c r="AA69" s="8"/>
      <c r="AB69" s="8"/>
      <c r="AC69" s="8"/>
      <c r="AD69" s="8"/>
      <c r="AE69" s="8"/>
      <c r="AL69" s="22"/>
    </row>
    <row r="70" spans="1:38" ht="15.75">
      <c r="A70" s="12" t="s">
        <v>189</v>
      </c>
      <c r="B70" s="12">
        <v>614433</v>
      </c>
      <c r="C70" s="15" t="s">
        <v>47</v>
      </c>
      <c r="D70" s="12"/>
      <c r="E70" s="13">
        <v>45672</v>
      </c>
      <c r="F70" s="15" t="s">
        <v>222</v>
      </c>
      <c r="G70" s="13">
        <v>45674</v>
      </c>
      <c r="H70" s="15" t="s">
        <v>221</v>
      </c>
      <c r="I70" s="14"/>
      <c r="J70" s="12"/>
      <c r="K70" s="12"/>
      <c r="L70" s="12"/>
      <c r="M70" s="12"/>
      <c r="N70" s="15" t="e">
        <f>(L70/(L70+M70))*100</f>
        <v>#DIV/0!</v>
      </c>
      <c r="O70" s="12"/>
      <c r="P70" s="12"/>
      <c r="Q70" s="15" t="e">
        <f>(O70/(O70+P70))*100</f>
        <v>#DIV/0!</v>
      </c>
      <c r="R70" s="12"/>
      <c r="S70" s="12"/>
      <c r="T70" s="12"/>
      <c r="U70" s="12"/>
      <c r="V70" s="12" t="s">
        <v>191</v>
      </c>
      <c r="W70" s="12"/>
      <c r="X70" s="12"/>
      <c r="Y70" s="12"/>
      <c r="Z70" s="1">
        <f>X70*L70/100</f>
        <v>0</v>
      </c>
      <c r="AA70" s="8"/>
      <c r="AB70" s="8"/>
      <c r="AC70" s="8"/>
      <c r="AD70" s="8"/>
      <c r="AE70" s="8"/>
      <c r="AL70" s="22"/>
    </row>
    <row r="71" spans="1:38" ht="47.25">
      <c r="A71" s="8" t="s">
        <v>223</v>
      </c>
      <c r="B71" s="8">
        <v>616595</v>
      </c>
      <c r="C71" s="11" t="s">
        <v>47</v>
      </c>
      <c r="D71" s="11" t="s">
        <v>48</v>
      </c>
      <c r="E71" s="9">
        <v>45840</v>
      </c>
      <c r="F71" s="11" t="s">
        <v>159</v>
      </c>
      <c r="G71" s="9">
        <v>45841</v>
      </c>
      <c r="H71" s="8"/>
      <c r="I71" s="10" t="s">
        <v>224</v>
      </c>
      <c r="J71" s="8">
        <v>1</v>
      </c>
      <c r="K71" s="8">
        <v>4</v>
      </c>
      <c r="L71" s="8">
        <f>5*920400</f>
        <v>4602000</v>
      </c>
      <c r="M71" s="8">
        <f>5*35180</f>
        <v>175900</v>
      </c>
      <c r="N71" s="11">
        <f>(L71/(L71+M71))*100</f>
        <v>96.318466271793042</v>
      </c>
      <c r="O71" s="8">
        <f>5*877300</f>
        <v>4386500</v>
      </c>
      <c r="P71" s="8">
        <f>5*1779</f>
        <v>8895</v>
      </c>
      <c r="Q71" s="11">
        <f>(O71/(O71+P71))*100</f>
        <v>99.797629109556709</v>
      </c>
      <c r="R71" s="8"/>
      <c r="S71" s="8"/>
      <c r="T71" s="8"/>
      <c r="U71" s="8"/>
      <c r="V71" s="8"/>
      <c r="W71" s="11">
        <f>701/14360*100</f>
        <v>4.8816155988857943</v>
      </c>
      <c r="X71" s="8">
        <f>430/14228*100</f>
        <v>3.0222097272982853</v>
      </c>
      <c r="Y71" s="8">
        <f>430/581*100</f>
        <v>74.010327022375208</v>
      </c>
      <c r="Z71" s="8"/>
      <c r="AA71" s="32">
        <v>52</v>
      </c>
      <c r="AB71" s="32" t="s">
        <v>50</v>
      </c>
      <c r="AC71" s="32" t="s">
        <v>51</v>
      </c>
      <c r="AD71" s="32" t="s">
        <v>52</v>
      </c>
      <c r="AE71" s="32" t="s">
        <v>225</v>
      </c>
      <c r="AF71" s="11" t="s">
        <v>101</v>
      </c>
      <c r="AG71" s="11" t="s">
        <v>147</v>
      </c>
      <c r="AH71" s="11" t="s">
        <v>56</v>
      </c>
      <c r="AI71" s="11" t="s">
        <v>56</v>
      </c>
      <c r="AJ71" s="11" t="s">
        <v>226</v>
      </c>
      <c r="AK71" s="11" t="s">
        <v>90</v>
      </c>
      <c r="AL71" s="8">
        <v>4</v>
      </c>
    </row>
    <row r="72" spans="1:38" s="8" customFormat="1" ht="15.75">
      <c r="A72" s="8" t="s">
        <v>189</v>
      </c>
      <c r="B72" s="8">
        <v>614715</v>
      </c>
      <c r="C72" s="11" t="s">
        <v>47</v>
      </c>
      <c r="E72" s="9">
        <v>45693</v>
      </c>
      <c r="F72" s="11" t="s">
        <v>227</v>
      </c>
      <c r="G72" s="9">
        <v>45695</v>
      </c>
      <c r="I72" s="10"/>
      <c r="N72" s="11"/>
      <c r="V72" s="8" t="s">
        <v>191</v>
      </c>
      <c r="Z72" s="1">
        <f>X72*L72/100</f>
        <v>0</v>
      </c>
      <c r="AL72" s="22"/>
    </row>
    <row r="73" spans="1:38" s="8" customFormat="1" ht="15.75">
      <c r="A73" s="8" t="s">
        <v>189</v>
      </c>
      <c r="B73" s="8">
        <v>614716</v>
      </c>
      <c r="C73" s="11" t="s">
        <v>47</v>
      </c>
      <c r="E73" s="9">
        <v>45693</v>
      </c>
      <c r="F73" s="11" t="s">
        <v>228</v>
      </c>
      <c r="G73" s="9">
        <v>45695</v>
      </c>
      <c r="I73" s="10"/>
      <c r="N73" s="11"/>
      <c r="V73" s="8" t="s">
        <v>191</v>
      </c>
      <c r="Z73" s="1">
        <f>X73*L73/100</f>
        <v>0</v>
      </c>
      <c r="AL73" s="22"/>
    </row>
    <row r="74" spans="1:38" s="8" customFormat="1" ht="15.75">
      <c r="A74" s="8" t="s">
        <v>189</v>
      </c>
      <c r="B74" s="8">
        <v>8535</v>
      </c>
      <c r="C74" s="11" t="s">
        <v>47</v>
      </c>
      <c r="D74" s="8" t="s">
        <v>166</v>
      </c>
      <c r="E74" s="9">
        <v>45698</v>
      </c>
      <c r="F74" s="11" t="s">
        <v>87</v>
      </c>
      <c r="G74" s="9">
        <v>45700</v>
      </c>
      <c r="H74" s="11" t="s">
        <v>229</v>
      </c>
      <c r="I74" s="10"/>
      <c r="N74" s="11"/>
      <c r="V74" s="8" t="s">
        <v>191</v>
      </c>
      <c r="Z74" s="1">
        <f>X74*L74/100</f>
        <v>0</v>
      </c>
      <c r="AL74" s="22"/>
    </row>
    <row r="75" spans="1:38" ht="15.75">
      <c r="A75" s="8" t="s">
        <v>193</v>
      </c>
      <c r="B75" s="8">
        <v>614762</v>
      </c>
      <c r="C75" s="11" t="s">
        <v>47</v>
      </c>
      <c r="D75" s="8" t="s">
        <v>48</v>
      </c>
      <c r="E75" s="9">
        <v>45698</v>
      </c>
      <c r="F75" s="11" t="s">
        <v>230</v>
      </c>
      <c r="G75" s="9">
        <v>45699</v>
      </c>
      <c r="H75" s="11" t="s">
        <v>231</v>
      </c>
      <c r="I75" s="10" t="s">
        <v>232</v>
      </c>
      <c r="J75" s="8">
        <v>1</v>
      </c>
      <c r="K75" s="8">
        <v>8</v>
      </c>
      <c r="L75" s="8">
        <f>5*12200000</f>
        <v>61000000</v>
      </c>
      <c r="M75" s="8">
        <f>5*7522</f>
        <v>37610</v>
      </c>
      <c r="N75" s="11">
        <f>(L75/(L75+M75))*100</f>
        <v>99.93838225317144</v>
      </c>
      <c r="O75" s="8">
        <f>18130000*5</f>
        <v>90650000</v>
      </c>
      <c r="P75" s="8">
        <f>5*21660</f>
        <v>108300</v>
      </c>
      <c r="Q75" s="11">
        <f>(O75/(O75+P75))*100</f>
        <v>99.880672070763779</v>
      </c>
      <c r="R75" s="8">
        <v>6</v>
      </c>
      <c r="S75" s="8">
        <v>0</v>
      </c>
      <c r="T75" s="8"/>
      <c r="U75" s="8" t="s">
        <v>233</v>
      </c>
      <c r="V75" s="8"/>
      <c r="W75" s="8" t="s">
        <v>234</v>
      </c>
      <c r="X75" s="8" t="s">
        <v>235</v>
      </c>
      <c r="Y75" s="8" t="s">
        <v>236</v>
      </c>
      <c r="Z75" s="8"/>
      <c r="AA75" s="24">
        <v>66</v>
      </c>
      <c r="AB75" s="24" t="s">
        <v>50</v>
      </c>
      <c r="AC75" s="24" t="s">
        <v>51</v>
      </c>
      <c r="AD75" s="24" t="s">
        <v>52</v>
      </c>
      <c r="AE75" s="24" t="s">
        <v>237</v>
      </c>
      <c r="AF75" s="8" t="s">
        <v>54</v>
      </c>
      <c r="AG75" s="8" t="s">
        <v>238</v>
      </c>
      <c r="AH75" s="8" t="s">
        <v>56</v>
      </c>
      <c r="AI75" s="8" t="s">
        <v>58</v>
      </c>
      <c r="AJ75" s="8" t="s">
        <v>239</v>
      </c>
      <c r="AK75" s="8" t="s">
        <v>56</v>
      </c>
      <c r="AL75" s="8">
        <v>3</v>
      </c>
    </row>
    <row r="76" spans="1:38" ht="15.75">
      <c r="A76" s="8" t="s">
        <v>193</v>
      </c>
      <c r="B76" s="8">
        <v>614692</v>
      </c>
      <c r="C76" s="11" t="s">
        <v>47</v>
      </c>
      <c r="D76" s="8" t="s">
        <v>48</v>
      </c>
      <c r="E76" s="9">
        <v>45692</v>
      </c>
      <c r="F76" s="11" t="s">
        <v>240</v>
      </c>
      <c r="G76" s="9">
        <v>45693</v>
      </c>
      <c r="H76" s="11" t="s">
        <v>231</v>
      </c>
      <c r="I76" s="10"/>
      <c r="J76" s="8">
        <v>1</v>
      </c>
      <c r="K76" s="8"/>
      <c r="L76" s="8">
        <f>10930000*5</f>
        <v>54650000</v>
      </c>
      <c r="M76" s="8">
        <f>5*8859</f>
        <v>44295</v>
      </c>
      <c r="N76" s="11">
        <f>(L76/(L76+M76))*100</f>
        <v>99.919013491260827</v>
      </c>
      <c r="O76" s="8"/>
      <c r="P76" s="8"/>
      <c r="Q76" s="8"/>
      <c r="R76" s="8">
        <v>0</v>
      </c>
      <c r="S76" s="8">
        <v>0</v>
      </c>
      <c r="T76" s="8">
        <v>0</v>
      </c>
      <c r="U76" s="8">
        <v>0</v>
      </c>
      <c r="V76" s="8" t="s">
        <v>241</v>
      </c>
      <c r="W76" s="8" t="s">
        <v>242</v>
      </c>
      <c r="X76" s="8" t="s">
        <v>243</v>
      </c>
      <c r="Y76" s="8" t="s">
        <v>244</v>
      </c>
      <c r="Z76" s="8"/>
      <c r="AA76" s="24">
        <v>33</v>
      </c>
      <c r="AB76" s="24" t="s">
        <v>50</v>
      </c>
      <c r="AC76" s="24" t="s">
        <v>51</v>
      </c>
      <c r="AD76" s="24" t="s">
        <v>138</v>
      </c>
      <c r="AE76" s="24" t="s">
        <v>245</v>
      </c>
      <c r="AF76" s="8" t="s">
        <v>54</v>
      </c>
      <c r="AG76" s="8" t="s">
        <v>246</v>
      </c>
      <c r="AH76" s="8" t="s">
        <v>56</v>
      </c>
      <c r="AI76" s="8" t="s">
        <v>58</v>
      </c>
      <c r="AJ76" s="8" t="s">
        <v>247</v>
      </c>
      <c r="AK76" s="8" t="s">
        <v>58</v>
      </c>
      <c r="AL76" s="8">
        <v>2</v>
      </c>
    </row>
    <row r="77" spans="1:38" ht="31.5">
      <c r="A77" s="15" t="s">
        <v>248</v>
      </c>
      <c r="B77" s="15">
        <v>611765</v>
      </c>
      <c r="C77" s="15" t="s">
        <v>47</v>
      </c>
      <c r="D77" s="15" t="s">
        <v>48</v>
      </c>
      <c r="E77" s="28">
        <v>45413</v>
      </c>
      <c r="F77" s="15" t="s">
        <v>249</v>
      </c>
      <c r="G77" s="28">
        <v>45414</v>
      </c>
      <c r="H77" s="15" t="s">
        <v>160</v>
      </c>
      <c r="I77" s="14" t="s">
        <v>250</v>
      </c>
      <c r="J77" s="15">
        <v>1</v>
      </c>
      <c r="K77" s="15">
        <v>3.9</v>
      </c>
      <c r="L77" s="15">
        <f>5*12240000</f>
        <v>61200000</v>
      </c>
      <c r="M77" s="15">
        <f>5*66810</f>
        <v>334050</v>
      </c>
      <c r="N77" s="15">
        <f>(L77/(L77+M77))*100</f>
        <v>99.457129832994909</v>
      </c>
      <c r="O77" s="15">
        <f>2915000*5</f>
        <v>14575000</v>
      </c>
      <c r="P77" s="15">
        <f>5*3549</f>
        <v>17745</v>
      </c>
      <c r="Q77" s="15">
        <f>(O77/(O77+P77))*100</f>
        <v>99.878398478147872</v>
      </c>
      <c r="R77" s="15">
        <v>13</v>
      </c>
      <c r="S77" s="12"/>
      <c r="T77" s="15">
        <v>1</v>
      </c>
      <c r="U77" s="15" t="s">
        <v>251</v>
      </c>
      <c r="V77" s="15"/>
      <c r="W77" s="12"/>
      <c r="X77" s="12"/>
      <c r="Y77" s="12"/>
      <c r="Z77" s="12"/>
      <c r="AA77" s="29">
        <v>53</v>
      </c>
      <c r="AB77" s="29" t="s">
        <v>50</v>
      </c>
      <c r="AC77" s="29" t="s">
        <v>51</v>
      </c>
      <c r="AD77" s="29" t="s">
        <v>52</v>
      </c>
      <c r="AE77" s="29" t="s">
        <v>252</v>
      </c>
      <c r="AF77" s="12" t="s">
        <v>54</v>
      </c>
      <c r="AG77" s="12"/>
      <c r="AH77" s="12"/>
      <c r="AI77" s="12"/>
      <c r="AJ77" s="12" t="s">
        <v>253</v>
      </c>
      <c r="AK77" s="12"/>
      <c r="AL77" s="12"/>
    </row>
    <row r="78" spans="1:38" ht="31.5">
      <c r="A78" s="15" t="s">
        <v>248</v>
      </c>
      <c r="B78" s="15">
        <v>611699</v>
      </c>
      <c r="C78" s="15" t="s">
        <v>47</v>
      </c>
      <c r="D78" s="15" t="s">
        <v>48</v>
      </c>
      <c r="E78" s="28">
        <v>45407</v>
      </c>
      <c r="F78" s="15" t="s">
        <v>215</v>
      </c>
      <c r="G78" s="28">
        <v>45408</v>
      </c>
      <c r="H78" s="15" t="s">
        <v>103</v>
      </c>
      <c r="I78" s="14" t="s">
        <v>254</v>
      </c>
      <c r="J78" s="15">
        <v>1</v>
      </c>
      <c r="K78" s="15">
        <v>5.5</v>
      </c>
      <c r="L78" s="15">
        <f>15960000*5</f>
        <v>79800000</v>
      </c>
      <c r="M78" s="15">
        <f>86730*5</f>
        <v>433650</v>
      </c>
      <c r="N78" s="15">
        <f>(L78/(L78+M78))*100</f>
        <v>99.459516050933743</v>
      </c>
      <c r="O78" s="15">
        <f>8415000*5</f>
        <v>42075000</v>
      </c>
      <c r="P78" s="15">
        <f>56640*5</f>
        <v>283200</v>
      </c>
      <c r="Q78" s="15">
        <f>(O78/(O78+P78))*100</f>
        <v>99.331416349136646</v>
      </c>
      <c r="R78" s="15">
        <v>18</v>
      </c>
      <c r="S78" s="12"/>
      <c r="T78" s="15">
        <v>4</v>
      </c>
      <c r="U78" s="15" t="s">
        <v>255</v>
      </c>
      <c r="V78" s="15"/>
      <c r="W78" s="12"/>
      <c r="X78" s="12"/>
      <c r="Y78" s="12"/>
      <c r="Z78" s="12"/>
      <c r="AA78" s="29">
        <v>67</v>
      </c>
      <c r="AB78" s="29" t="s">
        <v>50</v>
      </c>
      <c r="AC78" s="29" t="s">
        <v>51</v>
      </c>
      <c r="AD78" s="29" t="s">
        <v>52</v>
      </c>
      <c r="AE78" s="29" t="s">
        <v>256</v>
      </c>
      <c r="AF78" s="12" t="s">
        <v>54</v>
      </c>
      <c r="AG78" s="12"/>
      <c r="AH78" s="12"/>
      <c r="AI78" s="12"/>
      <c r="AJ78" s="12" t="s">
        <v>239</v>
      </c>
      <c r="AK78" s="12"/>
      <c r="AL78" s="12"/>
    </row>
    <row r="79" spans="1:38" ht="31.5">
      <c r="A79" s="15" t="s">
        <v>248</v>
      </c>
      <c r="B79" s="15">
        <v>611690</v>
      </c>
      <c r="C79" s="15" t="s">
        <v>47</v>
      </c>
      <c r="D79" s="15" t="s">
        <v>48</v>
      </c>
      <c r="E79" s="28">
        <v>45406</v>
      </c>
      <c r="F79" s="15" t="s">
        <v>257</v>
      </c>
      <c r="G79" s="28">
        <v>45408</v>
      </c>
      <c r="H79" s="15" t="s">
        <v>103</v>
      </c>
      <c r="I79" s="14" t="s">
        <v>258</v>
      </c>
      <c r="J79" s="15">
        <v>1</v>
      </c>
      <c r="K79" s="15">
        <v>3.7</v>
      </c>
      <c r="L79" s="15">
        <f>15690000*5</f>
        <v>78450000</v>
      </c>
      <c r="M79" s="15">
        <f>81420*5</f>
        <v>407100</v>
      </c>
      <c r="N79" s="15">
        <f>(L79/(L79+M79))*100</f>
        <v>99.483749719429198</v>
      </c>
      <c r="O79" s="15">
        <f>8441000*5</f>
        <v>42205000</v>
      </c>
      <c r="P79" s="15">
        <f>36730*5</f>
        <v>183650</v>
      </c>
      <c r="Q79" s="15">
        <f>(O79/(O79+P79))*100</f>
        <v>99.566747230685564</v>
      </c>
      <c r="R79" s="15">
        <v>15</v>
      </c>
      <c r="S79" s="12"/>
      <c r="T79" s="15">
        <v>4</v>
      </c>
      <c r="U79" s="15" t="s">
        <v>255</v>
      </c>
      <c r="V79" s="15"/>
      <c r="W79" s="12"/>
      <c r="X79" s="12"/>
      <c r="Y79" s="12"/>
      <c r="Z79" s="12"/>
      <c r="AA79" s="29">
        <v>59</v>
      </c>
      <c r="AB79" s="29" t="s">
        <v>50</v>
      </c>
      <c r="AC79" s="29" t="s">
        <v>51</v>
      </c>
      <c r="AD79" s="29" t="s">
        <v>52</v>
      </c>
      <c r="AE79" s="29" t="s">
        <v>259</v>
      </c>
      <c r="AF79" s="12" t="s">
        <v>95</v>
      </c>
      <c r="AG79" s="12"/>
      <c r="AH79" s="12" t="s">
        <v>65</v>
      </c>
      <c r="AI79" s="12"/>
      <c r="AJ79" s="12" t="s">
        <v>239</v>
      </c>
      <c r="AK79" s="12"/>
      <c r="AL79" s="12"/>
    </row>
    <row r="80" spans="1:38" s="12" customFormat="1" ht="15.75">
      <c r="A80" s="12" t="s">
        <v>203</v>
      </c>
      <c r="B80" s="12">
        <v>616310</v>
      </c>
      <c r="C80" s="12" t="s">
        <v>47</v>
      </c>
      <c r="D80" s="15" t="s">
        <v>48</v>
      </c>
      <c r="E80" s="13">
        <v>45813</v>
      </c>
      <c r="F80" s="12" t="s">
        <v>260</v>
      </c>
      <c r="G80" s="13">
        <v>45814</v>
      </c>
      <c r="H80" s="12" t="s">
        <v>160</v>
      </c>
      <c r="I80" s="14" t="s">
        <v>232</v>
      </c>
      <c r="J80" s="12">
        <v>1</v>
      </c>
      <c r="K80" s="12">
        <v>8</v>
      </c>
      <c r="L80" s="12">
        <f>5*536700</f>
        <v>2683500</v>
      </c>
      <c r="M80" s="12">
        <f>5*51950</f>
        <v>259750</v>
      </c>
      <c r="N80" s="15">
        <f>(L80/(L80+M80))*100</f>
        <v>91.174721821116108</v>
      </c>
      <c r="O80" s="12">
        <f>5*1318000</f>
        <v>6590000</v>
      </c>
      <c r="P80" s="12">
        <f>5*8142</f>
        <v>40710</v>
      </c>
      <c r="Q80" s="15">
        <f>(O80/(O80+P80))*100</f>
        <v>99.386038599184701</v>
      </c>
      <c r="R80" s="12">
        <v>6</v>
      </c>
      <c r="T80" s="12">
        <v>4</v>
      </c>
      <c r="W80" s="15"/>
      <c r="Z80" s="1">
        <f>X80*L80/100</f>
        <v>0</v>
      </c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22"/>
    </row>
    <row r="81" spans="1:53" ht="15.75">
      <c r="A81" s="15" t="s">
        <v>261</v>
      </c>
      <c r="B81" s="12">
        <v>616695</v>
      </c>
      <c r="C81" s="12" t="s">
        <v>47</v>
      </c>
      <c r="D81" s="12" t="s">
        <v>166</v>
      </c>
      <c r="E81" s="13">
        <v>45853</v>
      </c>
      <c r="F81" s="12" t="s">
        <v>68</v>
      </c>
      <c r="G81" s="13">
        <v>45854</v>
      </c>
      <c r="H81" s="12" t="s">
        <v>103</v>
      </c>
      <c r="I81" s="14" t="s">
        <v>262</v>
      </c>
      <c r="J81" s="12">
        <v>1</v>
      </c>
      <c r="K81" s="12">
        <v>3</v>
      </c>
      <c r="L81" s="12">
        <f>5*1425000</f>
        <v>7125000</v>
      </c>
      <c r="M81" s="12">
        <f>5*14560</f>
        <v>72800</v>
      </c>
      <c r="N81" s="12"/>
      <c r="O81" s="12">
        <f>5*591400</f>
        <v>2957000</v>
      </c>
      <c r="P81" s="12">
        <f>5*1903</f>
        <v>9515</v>
      </c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33">
        <v>62</v>
      </c>
      <c r="AB81" s="33" t="s">
        <v>50</v>
      </c>
      <c r="AC81" s="33" t="s">
        <v>51</v>
      </c>
      <c r="AD81" s="33" t="s">
        <v>52</v>
      </c>
      <c r="AE81" s="33" t="s">
        <v>263</v>
      </c>
      <c r="AF81" s="12"/>
      <c r="AG81" s="12"/>
      <c r="AH81" s="12"/>
      <c r="AI81" s="12"/>
      <c r="AJ81" s="12"/>
      <c r="AK81" s="12"/>
      <c r="AL81" s="12"/>
    </row>
    <row r="82" spans="1:53" s="8" customFormat="1" ht="47.25">
      <c r="A82" s="8" t="s">
        <v>264</v>
      </c>
      <c r="B82" s="8">
        <v>616606</v>
      </c>
      <c r="C82" s="11" t="s">
        <v>47</v>
      </c>
      <c r="D82" s="11" t="s">
        <v>166</v>
      </c>
      <c r="E82" s="9">
        <v>45840</v>
      </c>
      <c r="F82" s="11" t="s">
        <v>265</v>
      </c>
      <c r="G82" s="9">
        <v>45841</v>
      </c>
      <c r="I82" s="10" t="s">
        <v>232</v>
      </c>
      <c r="J82" s="8">
        <v>1</v>
      </c>
      <c r="K82" s="8">
        <v>8</v>
      </c>
      <c r="L82" s="8">
        <f>5*763000</f>
        <v>3815000</v>
      </c>
      <c r="M82" s="8">
        <f>5*13230</f>
        <v>66150</v>
      </c>
      <c r="N82" s="11">
        <f>(L82/(L82+M82))*100</f>
        <v>98.295608260438271</v>
      </c>
      <c r="O82" s="8">
        <f>192400*5</f>
        <v>962000</v>
      </c>
      <c r="P82" s="8">
        <f>5*12830</f>
        <v>64150</v>
      </c>
      <c r="Q82" s="11">
        <f>(O82/(O82+P82))*100</f>
        <v>93.748477318130881</v>
      </c>
      <c r="W82" s="11">
        <f>2511/14322*100</f>
        <v>17.532467532467532</v>
      </c>
      <c r="X82" s="8">
        <f>587/14322*100</f>
        <v>4.0985895824605505</v>
      </c>
      <c r="Y82" s="8">
        <f>587/2511*100</f>
        <v>23.377140581441658</v>
      </c>
      <c r="AA82" s="32">
        <v>54</v>
      </c>
      <c r="AB82" s="32" t="s">
        <v>62</v>
      </c>
      <c r="AC82" s="32" t="s">
        <v>167</v>
      </c>
      <c r="AD82" s="32" t="s">
        <v>52</v>
      </c>
      <c r="AE82" s="32" t="s">
        <v>166</v>
      </c>
      <c r="AF82" s="11" t="s">
        <v>56</v>
      </c>
      <c r="AG82" s="11" t="s">
        <v>56</v>
      </c>
      <c r="AH82" s="11" t="s">
        <v>56</v>
      </c>
      <c r="AI82" s="11" t="s">
        <v>56</v>
      </c>
      <c r="AJ82" s="11" t="s">
        <v>56</v>
      </c>
      <c r="AK82" s="11" t="s">
        <v>56</v>
      </c>
      <c r="AL82" s="11" t="s">
        <v>56</v>
      </c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ht="15.75">
      <c r="A83" s="8" t="s">
        <v>193</v>
      </c>
      <c r="B83" s="8">
        <v>616306</v>
      </c>
      <c r="C83" s="8" t="s">
        <v>47</v>
      </c>
      <c r="D83" s="11" t="s">
        <v>166</v>
      </c>
      <c r="E83" s="9">
        <v>45812</v>
      </c>
      <c r="F83" s="8" t="s">
        <v>266</v>
      </c>
      <c r="G83" s="9">
        <v>45813</v>
      </c>
      <c r="H83" s="8"/>
      <c r="I83" s="10" t="s">
        <v>194</v>
      </c>
      <c r="J83" s="8">
        <v>1</v>
      </c>
      <c r="K83" s="8">
        <v>9</v>
      </c>
      <c r="L83" s="8">
        <f>5*3123000</f>
        <v>15615000</v>
      </c>
      <c r="M83" s="8">
        <f>5*114200</f>
        <v>571000</v>
      </c>
      <c r="N83" s="11">
        <f>(L83/(L83+M83))*100</f>
        <v>96.472259977758554</v>
      </c>
      <c r="O83" s="8">
        <f>5*1308000</f>
        <v>6540000</v>
      </c>
      <c r="P83" s="8">
        <f>5*4425</f>
        <v>22125</v>
      </c>
      <c r="Q83" s="11">
        <f>(O83/(O83+P83))*100</f>
        <v>99.662837876450084</v>
      </c>
      <c r="R83" s="8">
        <v>6</v>
      </c>
      <c r="S83" s="8"/>
      <c r="T83" s="8"/>
      <c r="U83" s="8" t="s">
        <v>99</v>
      </c>
      <c r="V83" s="8" t="s">
        <v>267</v>
      </c>
      <c r="W83" s="11">
        <f>107203/232999*100</f>
        <v>46.010068712741258</v>
      </c>
      <c r="X83" s="8">
        <f>16211/232999*100</f>
        <v>6.9575405903029628</v>
      </c>
      <c r="Y83" s="8">
        <f>16211/107203*100</f>
        <v>15.12177830844286</v>
      </c>
      <c r="Z83" s="8"/>
      <c r="AA83" s="32">
        <v>70</v>
      </c>
      <c r="AB83" s="32" t="s">
        <v>50</v>
      </c>
      <c r="AC83" s="32" t="s">
        <v>51</v>
      </c>
      <c r="AD83" s="32" t="s">
        <v>52</v>
      </c>
      <c r="AE83" s="32" t="s">
        <v>166</v>
      </c>
      <c r="AF83" s="11" t="s">
        <v>56</v>
      </c>
      <c r="AG83" s="11" t="s">
        <v>56</v>
      </c>
      <c r="AH83" s="11" t="s">
        <v>56</v>
      </c>
      <c r="AI83" s="11" t="s">
        <v>56</v>
      </c>
      <c r="AJ83" s="11" t="s">
        <v>56</v>
      </c>
      <c r="AK83" s="11" t="s">
        <v>56</v>
      </c>
      <c r="AL83" s="11" t="s">
        <v>56</v>
      </c>
    </row>
    <row r="84" spans="1:53" ht="15.75">
      <c r="A84" s="8" t="s">
        <v>193</v>
      </c>
      <c r="B84" s="8">
        <v>615461</v>
      </c>
      <c r="C84" s="11" t="s">
        <v>47</v>
      </c>
      <c r="D84" s="8" t="s">
        <v>166</v>
      </c>
      <c r="E84" s="9">
        <v>45748</v>
      </c>
      <c r="F84" s="8" t="s">
        <v>113</v>
      </c>
      <c r="G84" s="9">
        <v>45749</v>
      </c>
      <c r="H84" s="8" t="s">
        <v>103</v>
      </c>
      <c r="I84" s="10" t="s">
        <v>232</v>
      </c>
      <c r="J84" s="8">
        <v>1</v>
      </c>
      <c r="K84" s="8">
        <v>8</v>
      </c>
      <c r="L84" s="39">
        <f>374600*5</f>
        <v>1873000</v>
      </c>
      <c r="M84" s="8">
        <f>2965*5</f>
        <v>14825</v>
      </c>
      <c r="N84" s="11">
        <f>(L84/(L84+M84))*100</f>
        <v>99.214704752824019</v>
      </c>
      <c r="O84" s="39">
        <f>43670*5</f>
        <v>218350</v>
      </c>
      <c r="P84" s="8">
        <f>4425*5</f>
        <v>22125</v>
      </c>
      <c r="Q84" s="11">
        <f>(O84/(O84+P84))*100</f>
        <v>90.799459403264365</v>
      </c>
      <c r="R84" s="8">
        <v>3</v>
      </c>
      <c r="S84" s="8"/>
      <c r="T84" s="8"/>
      <c r="U84" s="8">
        <v>6</v>
      </c>
      <c r="V84" s="8" t="s">
        <v>195</v>
      </c>
      <c r="W84" s="8">
        <f>25671/324201*100</f>
        <v>7.9182359092044754</v>
      </c>
      <c r="X84" s="8">
        <f>1358/324201*100</f>
        <v>0.41887594424446567</v>
      </c>
      <c r="Y84" s="8">
        <v>5.29</v>
      </c>
      <c r="Z84" s="8"/>
      <c r="AA84" s="24">
        <v>60</v>
      </c>
      <c r="AB84" s="24" t="s">
        <v>50</v>
      </c>
      <c r="AC84" s="24" t="s">
        <v>51</v>
      </c>
      <c r="AD84" s="24" t="s">
        <v>52</v>
      </c>
      <c r="AE84" s="8" t="s">
        <v>166</v>
      </c>
      <c r="AF84" s="8" t="s">
        <v>56</v>
      </c>
      <c r="AG84" s="8"/>
      <c r="AH84" s="8" t="s">
        <v>56</v>
      </c>
      <c r="AI84" s="8" t="s">
        <v>56</v>
      </c>
      <c r="AJ84" s="8" t="s">
        <v>56</v>
      </c>
      <c r="AK84" s="8" t="s">
        <v>56</v>
      </c>
      <c r="AL84" s="8" t="s">
        <v>56</v>
      </c>
    </row>
    <row r="85" spans="1:53" ht="15.75">
      <c r="A85" s="8" t="s">
        <v>193</v>
      </c>
      <c r="B85" s="11">
        <v>602635</v>
      </c>
      <c r="C85" s="11" t="s">
        <v>47</v>
      </c>
      <c r="D85" s="11" t="s">
        <v>166</v>
      </c>
      <c r="E85" s="9">
        <v>45636</v>
      </c>
      <c r="F85" s="11" t="s">
        <v>268</v>
      </c>
      <c r="G85" s="9">
        <v>45637</v>
      </c>
      <c r="H85" s="8" t="s">
        <v>119</v>
      </c>
      <c r="I85" s="10" t="s">
        <v>198</v>
      </c>
      <c r="J85" s="8">
        <v>1</v>
      </c>
      <c r="K85" s="8">
        <v>7.7</v>
      </c>
      <c r="L85" s="8">
        <f>56210000*5</f>
        <v>281050000</v>
      </c>
      <c r="M85" s="8">
        <f>75220*5</f>
        <v>376100</v>
      </c>
      <c r="N85" s="11">
        <f>(L85/(L85+M85))*100</f>
        <v>99.866359232494787</v>
      </c>
      <c r="O85" s="8">
        <f>4635000*5</f>
        <v>23175000</v>
      </c>
      <c r="P85" s="8">
        <v>0</v>
      </c>
      <c r="Q85" s="11">
        <f>(O85/(O85+P85))*100</f>
        <v>100</v>
      </c>
      <c r="R85" s="8">
        <v>6</v>
      </c>
      <c r="S85" s="8"/>
      <c r="T85" s="8">
        <v>2</v>
      </c>
      <c r="U85" s="8"/>
      <c r="V85" s="8"/>
      <c r="W85" s="8" t="s">
        <v>269</v>
      </c>
      <c r="X85" s="8" t="s">
        <v>270</v>
      </c>
      <c r="Y85" s="8" t="s">
        <v>271</v>
      </c>
      <c r="Z85" s="8"/>
      <c r="AA85" s="24">
        <v>46</v>
      </c>
      <c r="AB85" s="24" t="s">
        <v>62</v>
      </c>
      <c r="AC85" s="24" t="s">
        <v>51</v>
      </c>
      <c r="AD85" s="24" t="s">
        <v>52</v>
      </c>
      <c r="AE85" s="8" t="s">
        <v>166</v>
      </c>
      <c r="AF85" s="8" t="s">
        <v>56</v>
      </c>
      <c r="AG85" s="8" t="s">
        <v>56</v>
      </c>
      <c r="AH85" s="8" t="s">
        <v>56</v>
      </c>
      <c r="AI85" s="8" t="s">
        <v>56</v>
      </c>
      <c r="AJ85" s="8" t="s">
        <v>56</v>
      </c>
      <c r="AK85" s="8" t="s">
        <v>56</v>
      </c>
      <c r="AL85" s="8" t="s">
        <v>56</v>
      </c>
    </row>
    <row r="86" spans="1:53" ht="15.75">
      <c r="A86" s="15" t="s">
        <v>261</v>
      </c>
      <c r="B86" s="12">
        <v>616519</v>
      </c>
      <c r="C86" s="12" t="s">
        <v>47</v>
      </c>
      <c r="D86" s="12"/>
      <c r="E86" s="13">
        <v>45833</v>
      </c>
      <c r="F86" s="12" t="s">
        <v>272</v>
      </c>
      <c r="G86" s="13">
        <v>45834</v>
      </c>
      <c r="H86" s="12"/>
      <c r="I86" s="14" t="s">
        <v>194</v>
      </c>
      <c r="J86" s="12">
        <v>1</v>
      </c>
      <c r="K86" s="12"/>
      <c r="L86" s="12">
        <f>5*1013000</f>
        <v>5065000</v>
      </c>
      <c r="M86" s="12">
        <f>5*10750</f>
        <v>53750</v>
      </c>
      <c r="N86" s="15">
        <f>(L86/(L86+M86))*100</f>
        <v>98.949938949938954</v>
      </c>
      <c r="O86" s="12">
        <f>5*1136000</f>
        <v>5680000</v>
      </c>
      <c r="P86" s="12">
        <f>5*3186</f>
        <v>15930</v>
      </c>
      <c r="Q86" s="15">
        <f>(O86/(O86+P86))*100</f>
        <v>99.720326619182458</v>
      </c>
      <c r="R86" s="12"/>
      <c r="S86" s="12"/>
      <c r="T86" s="12"/>
      <c r="U86" s="15" t="s">
        <v>99</v>
      </c>
      <c r="V86" s="12"/>
      <c r="W86" s="15"/>
      <c r="X86" s="12"/>
      <c r="Y86" s="12"/>
      <c r="Z86" s="12"/>
      <c r="AA86" s="33">
        <v>77</v>
      </c>
      <c r="AB86" s="33" t="s">
        <v>50</v>
      </c>
      <c r="AC86" s="33" t="s">
        <v>51</v>
      </c>
      <c r="AD86" s="33" t="s">
        <v>52</v>
      </c>
      <c r="AE86" s="33" t="s">
        <v>273</v>
      </c>
      <c r="AF86" s="12"/>
      <c r="AG86" s="12"/>
      <c r="AH86" s="12"/>
      <c r="AI86" s="12"/>
      <c r="AJ86" s="12"/>
      <c r="AK86" s="12"/>
      <c r="AL86" s="12"/>
    </row>
    <row r="87" spans="1:53" ht="15.75">
      <c r="A87" s="16"/>
      <c r="B87" s="16"/>
      <c r="C87" s="16"/>
      <c r="D87" s="16"/>
      <c r="E87" s="16"/>
      <c r="F87" s="16"/>
      <c r="G87" s="16"/>
      <c r="H87" s="16"/>
      <c r="I87" s="17"/>
      <c r="J87" s="16"/>
      <c r="K87" s="16"/>
      <c r="L87" s="16"/>
      <c r="M87" s="16"/>
      <c r="N87" s="16" t="e">
        <f>(L87/(L87+M87))*100</f>
        <v>#DIV/0!</v>
      </c>
      <c r="O87" s="16"/>
      <c r="P87" s="16"/>
      <c r="Q87" s="16" t="e">
        <f>(O87/(O87+P87))*100</f>
        <v>#DIV/0!</v>
      </c>
      <c r="R87" s="16"/>
      <c r="S87" s="16"/>
      <c r="T87" s="16"/>
      <c r="U87" s="16"/>
      <c r="V87" s="16"/>
      <c r="W87" s="16"/>
      <c r="X87" s="16"/>
      <c r="Y87" s="16"/>
      <c r="Z87" s="16"/>
      <c r="AA87" s="25"/>
      <c r="AB87" s="25"/>
      <c r="AC87" s="25"/>
      <c r="AD87" s="25"/>
      <c r="AE87" s="25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</row>
    <row r="88" spans="1:53" ht="15.75">
      <c r="A88" s="12" t="s">
        <v>274</v>
      </c>
      <c r="B88" s="12">
        <v>612062</v>
      </c>
      <c r="C88" s="12" t="s">
        <v>47</v>
      </c>
      <c r="D88" s="12"/>
      <c r="E88" s="12"/>
      <c r="F88" s="12"/>
      <c r="G88" s="12"/>
      <c r="H88" s="12"/>
      <c r="I88" s="14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</row>
    <row r="89" spans="1:53" ht="15.75">
      <c r="A89" s="12" t="s">
        <v>274</v>
      </c>
      <c r="B89" s="12">
        <v>617101</v>
      </c>
      <c r="C89" s="12" t="s">
        <v>47</v>
      </c>
      <c r="D89" s="12"/>
      <c r="E89" s="12"/>
      <c r="F89" s="12"/>
      <c r="G89" s="12"/>
      <c r="H89" s="12"/>
      <c r="I89" s="14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</row>
    <row r="90" spans="1:53" ht="15.75" customHeight="1">
      <c r="I90" s="3"/>
    </row>
    <row r="91" spans="1:53" ht="15.75" customHeight="1">
      <c r="I91" s="3"/>
    </row>
    <row r="92" spans="1:53" ht="15.75" customHeight="1">
      <c r="I92" s="3"/>
    </row>
    <row r="93" spans="1:53" ht="15.75" customHeight="1">
      <c r="I93" s="3"/>
    </row>
    <row r="94" spans="1:53" ht="15.75" customHeight="1">
      <c r="I94" s="3"/>
    </row>
    <row r="95" spans="1:53" ht="15.75" customHeight="1">
      <c r="I95" s="3"/>
    </row>
    <row r="96" spans="1:53" ht="15.75" customHeight="1">
      <c r="I96" s="3"/>
    </row>
    <row r="97" spans="9:9" ht="15.75" customHeight="1">
      <c r="I97" s="3"/>
    </row>
    <row r="98" spans="9:9" ht="15.75" customHeight="1">
      <c r="I98" s="3"/>
    </row>
    <row r="99" spans="9:9" ht="15.75" customHeight="1">
      <c r="I99" s="3"/>
    </row>
    <row r="100" spans="9:9" ht="15.75" customHeight="1">
      <c r="I100" s="3"/>
    </row>
    <row r="101" spans="9:9" ht="15.75" customHeight="1">
      <c r="I101" s="3"/>
    </row>
    <row r="102" spans="9:9" ht="15.75" customHeight="1">
      <c r="I102" s="3"/>
    </row>
    <row r="103" spans="9:9" ht="15.75" customHeight="1">
      <c r="I103" s="3"/>
    </row>
    <row r="104" spans="9:9" ht="15.75" customHeight="1">
      <c r="I104" s="3"/>
    </row>
    <row r="105" spans="9:9" ht="15.75" customHeight="1">
      <c r="I105" s="3"/>
    </row>
    <row r="106" spans="9:9" ht="15.75" customHeight="1">
      <c r="I106" s="3"/>
    </row>
    <row r="107" spans="9:9" ht="15.75" customHeight="1">
      <c r="I107" s="3"/>
    </row>
    <row r="108" spans="9:9" ht="15.75" customHeight="1">
      <c r="I108" s="3"/>
    </row>
    <row r="109" spans="9:9" ht="15.75" customHeight="1">
      <c r="I109" s="3"/>
    </row>
    <row r="110" spans="9:9" ht="15.75" customHeight="1">
      <c r="I110" s="3"/>
    </row>
    <row r="111" spans="9:9" ht="15.75" customHeight="1">
      <c r="I111" s="3"/>
    </row>
    <row r="112" spans="9:9" ht="15.75" customHeight="1">
      <c r="I112" s="3"/>
    </row>
    <row r="113" spans="9:9" ht="15.75" customHeight="1">
      <c r="I113" s="3"/>
    </row>
    <row r="114" spans="9:9" ht="15.75" customHeight="1">
      <c r="I114" s="3"/>
    </row>
    <row r="115" spans="9:9" ht="15.75" customHeight="1">
      <c r="I115" s="3"/>
    </row>
    <row r="116" spans="9:9" ht="15.75" customHeight="1">
      <c r="I116" s="3"/>
    </row>
    <row r="117" spans="9:9" ht="15.75" customHeight="1">
      <c r="I117" s="3"/>
    </row>
    <row r="118" spans="9:9" ht="15.75" customHeight="1">
      <c r="I118" s="3"/>
    </row>
    <row r="119" spans="9:9" ht="15.75" customHeight="1">
      <c r="I119" s="3"/>
    </row>
    <row r="120" spans="9:9" ht="15.75" customHeight="1">
      <c r="I120" s="3"/>
    </row>
    <row r="121" spans="9:9" ht="15.75" customHeight="1">
      <c r="I121" s="3"/>
    </row>
    <row r="122" spans="9:9" ht="15.75" customHeight="1">
      <c r="I122" s="3"/>
    </row>
    <row r="123" spans="9:9" ht="15.75" customHeight="1">
      <c r="I123" s="3"/>
    </row>
    <row r="124" spans="9:9" ht="15.75" customHeight="1">
      <c r="I124" s="3"/>
    </row>
    <row r="125" spans="9:9" ht="15.75" customHeight="1">
      <c r="I125" s="3"/>
    </row>
    <row r="126" spans="9:9" ht="15.75" customHeight="1">
      <c r="I126" s="3"/>
    </row>
    <row r="127" spans="9:9" ht="15.75" customHeight="1">
      <c r="I127" s="3"/>
    </row>
    <row r="128" spans="9:9" ht="15.75" customHeight="1">
      <c r="I128" s="3"/>
    </row>
    <row r="129" spans="9:9" ht="15.75" customHeight="1">
      <c r="I129" s="3"/>
    </row>
    <row r="130" spans="9:9" ht="15.75" customHeight="1">
      <c r="I130" s="3"/>
    </row>
    <row r="131" spans="9:9" ht="15.75" customHeight="1">
      <c r="I131" s="3"/>
    </row>
    <row r="132" spans="9:9" ht="15.75" customHeight="1">
      <c r="I132" s="3"/>
    </row>
    <row r="133" spans="9:9" ht="15.75" customHeight="1">
      <c r="I133" s="3"/>
    </row>
    <row r="134" spans="9:9" ht="15.75" customHeight="1">
      <c r="I134" s="3"/>
    </row>
    <row r="135" spans="9:9" ht="15.75" customHeight="1">
      <c r="I135" s="3"/>
    </row>
    <row r="136" spans="9:9" ht="15.75" customHeight="1">
      <c r="I136" s="3"/>
    </row>
    <row r="137" spans="9:9" ht="15.75" customHeight="1">
      <c r="I137" s="3"/>
    </row>
    <row r="138" spans="9:9" ht="15.75" customHeight="1">
      <c r="I138" s="3"/>
    </row>
    <row r="139" spans="9:9" ht="15.75" customHeight="1">
      <c r="I139" s="3"/>
    </row>
    <row r="140" spans="9:9" ht="15.75" customHeight="1">
      <c r="I140" s="3"/>
    </row>
    <row r="141" spans="9:9" ht="15.75" customHeight="1">
      <c r="I141" s="3"/>
    </row>
    <row r="142" spans="9:9" ht="15.75" customHeight="1">
      <c r="I142" s="3"/>
    </row>
    <row r="143" spans="9:9" ht="15.75" customHeight="1">
      <c r="I143" s="3"/>
    </row>
    <row r="144" spans="9:9" ht="15.75" customHeight="1">
      <c r="I144" s="3"/>
    </row>
    <row r="145" spans="9:9" ht="15.75" customHeight="1">
      <c r="I145" s="3"/>
    </row>
    <row r="146" spans="9:9" ht="15.75" customHeight="1">
      <c r="I146" s="3"/>
    </row>
    <row r="147" spans="9:9" ht="15.75" customHeight="1">
      <c r="I147" s="3"/>
    </row>
    <row r="148" spans="9:9" ht="15.75" customHeight="1">
      <c r="I148" s="3"/>
    </row>
    <row r="149" spans="9:9" ht="15.75" customHeight="1">
      <c r="I149" s="3"/>
    </row>
    <row r="150" spans="9:9" ht="15.75" customHeight="1">
      <c r="I150" s="3"/>
    </row>
    <row r="151" spans="9:9" ht="15.75" customHeight="1">
      <c r="I151" s="3"/>
    </row>
    <row r="152" spans="9:9" ht="15.75" customHeight="1">
      <c r="I152" s="3"/>
    </row>
    <row r="153" spans="9:9" ht="15.75" customHeight="1">
      <c r="I153" s="3"/>
    </row>
    <row r="154" spans="9:9" ht="15.75" customHeight="1">
      <c r="I154" s="3"/>
    </row>
    <row r="155" spans="9:9" ht="15.75" customHeight="1">
      <c r="I155" s="3"/>
    </row>
    <row r="156" spans="9:9" ht="15.75" customHeight="1">
      <c r="I156" s="3"/>
    </row>
    <row r="157" spans="9:9" ht="15.75" customHeight="1">
      <c r="I157" s="3"/>
    </row>
    <row r="158" spans="9:9" ht="15.75" customHeight="1">
      <c r="I158" s="3"/>
    </row>
    <row r="159" spans="9:9" ht="15.75" customHeight="1">
      <c r="I159" s="3"/>
    </row>
    <row r="160" spans="9:9" ht="15.75" customHeight="1">
      <c r="I160" s="3"/>
    </row>
    <row r="161" spans="9:9" ht="15.75" customHeight="1">
      <c r="I161" s="3"/>
    </row>
    <row r="162" spans="9:9" ht="15.75" customHeight="1">
      <c r="I162" s="3"/>
    </row>
    <row r="163" spans="9:9" ht="15.75" customHeight="1">
      <c r="I163" s="3"/>
    </row>
    <row r="164" spans="9:9" ht="15.75" customHeight="1">
      <c r="I164" s="3"/>
    </row>
    <row r="165" spans="9:9" ht="15.75" customHeight="1">
      <c r="I165" s="3"/>
    </row>
    <row r="166" spans="9:9" ht="15.75" customHeight="1">
      <c r="I166" s="3"/>
    </row>
    <row r="167" spans="9:9" ht="15.75" customHeight="1">
      <c r="I167" s="3"/>
    </row>
    <row r="168" spans="9:9" ht="15.75" customHeight="1">
      <c r="I168" s="3"/>
    </row>
    <row r="169" spans="9:9" ht="15.75" customHeight="1">
      <c r="I169" s="3"/>
    </row>
    <row r="170" spans="9:9" ht="15.75" customHeight="1">
      <c r="I170" s="3"/>
    </row>
    <row r="171" spans="9:9" ht="15.75" customHeight="1">
      <c r="I171" s="3"/>
    </row>
    <row r="172" spans="9:9" ht="15.75" customHeight="1">
      <c r="I172" s="3"/>
    </row>
    <row r="173" spans="9:9" ht="15.75" customHeight="1">
      <c r="I173" s="3"/>
    </row>
    <row r="174" spans="9:9" ht="15.75" customHeight="1">
      <c r="I174" s="3"/>
    </row>
    <row r="175" spans="9:9" ht="15.75" customHeight="1">
      <c r="I175" s="3"/>
    </row>
    <row r="176" spans="9:9" ht="15.75" customHeight="1">
      <c r="I176" s="3"/>
    </row>
    <row r="177" spans="9:9" ht="15.75" customHeight="1">
      <c r="I177" s="3"/>
    </row>
    <row r="178" spans="9:9" ht="15.75" customHeight="1">
      <c r="I178" s="3"/>
    </row>
    <row r="179" spans="9:9" ht="15.75" customHeight="1">
      <c r="I179" s="3"/>
    </row>
    <row r="180" spans="9:9" ht="15.75" customHeight="1">
      <c r="I180" s="3"/>
    </row>
    <row r="181" spans="9:9" ht="15.75" customHeight="1">
      <c r="I181" s="3"/>
    </row>
    <row r="182" spans="9:9" ht="15.75" customHeight="1">
      <c r="I182" s="3"/>
    </row>
    <row r="183" spans="9:9" ht="15.75" customHeight="1">
      <c r="I183" s="3"/>
    </row>
    <row r="184" spans="9:9" ht="15.75" customHeight="1">
      <c r="I184" s="3"/>
    </row>
    <row r="185" spans="9:9" ht="15.75" customHeight="1">
      <c r="I185" s="3"/>
    </row>
    <row r="186" spans="9:9" ht="15.75" customHeight="1">
      <c r="I186" s="3"/>
    </row>
    <row r="187" spans="9:9" ht="15.75" customHeight="1">
      <c r="I187" s="3"/>
    </row>
    <row r="188" spans="9:9" ht="15.75" customHeight="1">
      <c r="I188" s="3"/>
    </row>
    <row r="189" spans="9:9" ht="15.75" customHeight="1">
      <c r="I189" s="3"/>
    </row>
    <row r="190" spans="9:9" ht="15.75" customHeight="1">
      <c r="I190" s="3"/>
    </row>
    <row r="191" spans="9:9" ht="15.75" customHeight="1">
      <c r="I191" s="3"/>
    </row>
    <row r="192" spans="9:9" ht="15.75" customHeight="1">
      <c r="I192" s="3"/>
    </row>
    <row r="193" spans="9:9" ht="15.75" customHeight="1">
      <c r="I193" s="3"/>
    </row>
    <row r="194" spans="9:9" ht="15.75" customHeight="1">
      <c r="I194" s="3"/>
    </row>
    <row r="195" spans="9:9" ht="15.75" customHeight="1">
      <c r="I195" s="3"/>
    </row>
    <row r="196" spans="9:9" ht="15.75" customHeight="1">
      <c r="I196" s="3"/>
    </row>
    <row r="197" spans="9:9" ht="15.75" customHeight="1">
      <c r="I197" s="3"/>
    </row>
    <row r="198" spans="9:9" ht="15.75" customHeight="1">
      <c r="I198" s="3"/>
    </row>
    <row r="199" spans="9:9" ht="15.75" customHeight="1">
      <c r="I199" s="3"/>
    </row>
    <row r="200" spans="9:9" ht="15.75" customHeight="1">
      <c r="I200" s="3"/>
    </row>
    <row r="201" spans="9:9" ht="15.75" customHeight="1">
      <c r="I201" s="3"/>
    </row>
    <row r="202" spans="9:9" ht="15.75" customHeight="1">
      <c r="I202" s="3"/>
    </row>
    <row r="203" spans="9:9" ht="15.75" customHeight="1">
      <c r="I203" s="3"/>
    </row>
    <row r="204" spans="9:9" ht="15.75" customHeight="1">
      <c r="I204" s="3"/>
    </row>
    <row r="205" spans="9:9" ht="15.75" customHeight="1">
      <c r="I205" s="3"/>
    </row>
    <row r="206" spans="9:9" ht="15.75" customHeight="1">
      <c r="I206" s="3"/>
    </row>
    <row r="207" spans="9:9" ht="15.75" customHeight="1">
      <c r="I207" s="3"/>
    </row>
    <row r="208" spans="9:9" ht="15.75" customHeight="1">
      <c r="I208" s="3"/>
    </row>
    <row r="209" spans="9:9" ht="15.75" customHeight="1">
      <c r="I209" s="3"/>
    </row>
    <row r="210" spans="9:9" ht="15.75" customHeight="1">
      <c r="I210" s="3"/>
    </row>
    <row r="211" spans="9:9" ht="15.75" customHeight="1">
      <c r="I211" s="3"/>
    </row>
    <row r="212" spans="9:9" ht="15.75" customHeight="1">
      <c r="I212" s="3"/>
    </row>
    <row r="213" spans="9:9" ht="15.75" customHeight="1">
      <c r="I213" s="3"/>
    </row>
    <row r="214" spans="9:9" ht="15.75" customHeight="1">
      <c r="I214" s="3"/>
    </row>
    <row r="215" spans="9:9" ht="15.75" customHeight="1">
      <c r="I215" s="3"/>
    </row>
    <row r="216" spans="9:9" ht="15.75" customHeight="1">
      <c r="I216" s="3"/>
    </row>
    <row r="217" spans="9:9" ht="15.75" customHeight="1">
      <c r="I217" s="3"/>
    </row>
    <row r="218" spans="9:9" ht="15.75" customHeight="1">
      <c r="I218" s="3"/>
    </row>
    <row r="219" spans="9:9" ht="15.75" customHeight="1">
      <c r="I219" s="3"/>
    </row>
    <row r="220" spans="9:9" ht="15.75" customHeight="1">
      <c r="I220" s="3"/>
    </row>
    <row r="221" spans="9:9" ht="15.75" customHeight="1">
      <c r="I221" s="3"/>
    </row>
    <row r="222" spans="9:9" ht="15.75" customHeight="1">
      <c r="I222" s="3"/>
    </row>
    <row r="223" spans="9:9" ht="15.75" customHeight="1">
      <c r="I223" s="3"/>
    </row>
    <row r="224" spans="9:9" ht="15.75" customHeight="1">
      <c r="I224" s="3"/>
    </row>
    <row r="225" spans="9:9" ht="15.75" customHeight="1">
      <c r="I225" s="3"/>
    </row>
    <row r="226" spans="9:9" ht="15.75" customHeight="1">
      <c r="I226" s="3"/>
    </row>
    <row r="227" spans="9:9" ht="15.75" customHeight="1">
      <c r="I227" s="3"/>
    </row>
    <row r="228" spans="9:9" ht="15.75" customHeight="1">
      <c r="I228" s="3"/>
    </row>
    <row r="229" spans="9:9" ht="15.75" customHeight="1">
      <c r="I229" s="3"/>
    </row>
    <row r="230" spans="9:9" ht="15.75" customHeight="1">
      <c r="I230" s="3"/>
    </row>
    <row r="231" spans="9:9" ht="15.75" customHeight="1">
      <c r="I231" s="3"/>
    </row>
    <row r="232" spans="9:9" ht="15.75" customHeight="1">
      <c r="I232" s="3"/>
    </row>
    <row r="233" spans="9:9" ht="15.75" customHeight="1">
      <c r="I233" s="3"/>
    </row>
    <row r="234" spans="9:9" ht="15.75" customHeight="1">
      <c r="I234" s="3"/>
    </row>
    <row r="235" spans="9:9" ht="15.75" customHeight="1">
      <c r="I235" s="3"/>
    </row>
    <row r="236" spans="9:9" ht="15.75" customHeight="1">
      <c r="I236" s="3"/>
    </row>
    <row r="237" spans="9:9" ht="15.75" customHeight="1">
      <c r="I237" s="3"/>
    </row>
    <row r="238" spans="9:9" ht="15.75" customHeight="1">
      <c r="I238" s="3"/>
    </row>
    <row r="239" spans="9:9" ht="15.75" customHeight="1">
      <c r="I239" s="3"/>
    </row>
    <row r="240" spans="9:9" ht="15.75" customHeight="1">
      <c r="I240" s="3"/>
    </row>
    <row r="241" spans="9:9" ht="15.75" customHeight="1">
      <c r="I241" s="3"/>
    </row>
    <row r="242" spans="9:9" ht="15.75" customHeight="1">
      <c r="I242" s="3"/>
    </row>
    <row r="243" spans="9:9" ht="15.75" customHeight="1">
      <c r="I243" s="3"/>
    </row>
    <row r="244" spans="9:9" ht="15.75" customHeight="1">
      <c r="I244" s="3"/>
    </row>
    <row r="245" spans="9:9" ht="15.75" customHeight="1">
      <c r="I245" s="3"/>
    </row>
    <row r="246" spans="9:9" ht="15.75" customHeight="1">
      <c r="I246" s="3"/>
    </row>
    <row r="247" spans="9:9" ht="15.75" customHeight="1">
      <c r="I247" s="3"/>
    </row>
    <row r="248" spans="9:9" ht="15.75" customHeight="1">
      <c r="I248" s="3"/>
    </row>
    <row r="249" spans="9:9" ht="15.75" customHeight="1">
      <c r="I249" s="3"/>
    </row>
    <row r="250" spans="9:9" ht="15.75" customHeight="1">
      <c r="I250" s="3"/>
    </row>
    <row r="251" spans="9:9" ht="15.75" customHeight="1">
      <c r="I251" s="3"/>
    </row>
    <row r="252" spans="9:9" ht="15.75" customHeight="1">
      <c r="I252" s="3"/>
    </row>
    <row r="253" spans="9:9" ht="15.75" customHeight="1">
      <c r="I253" s="3"/>
    </row>
    <row r="254" spans="9:9" ht="15.75" customHeight="1">
      <c r="I254" s="3"/>
    </row>
    <row r="255" spans="9:9" ht="15.75" customHeight="1">
      <c r="I255" s="3"/>
    </row>
    <row r="256" spans="9:9" ht="15.75" customHeight="1">
      <c r="I256" s="3"/>
    </row>
    <row r="257" spans="9:9" ht="15.75" customHeight="1">
      <c r="I257" s="3"/>
    </row>
    <row r="258" spans="9:9" ht="15.75" customHeight="1">
      <c r="I258" s="3"/>
    </row>
    <row r="259" spans="9:9" ht="15.75" customHeight="1">
      <c r="I259" s="3"/>
    </row>
    <row r="260" spans="9:9" ht="15.75" customHeight="1">
      <c r="I260" s="3"/>
    </row>
    <row r="261" spans="9:9" ht="15.75" customHeight="1">
      <c r="I261" s="3"/>
    </row>
    <row r="262" spans="9:9" ht="15.75" customHeight="1">
      <c r="I262" s="3"/>
    </row>
    <row r="263" spans="9:9" ht="15.75" customHeight="1">
      <c r="I263" s="3"/>
    </row>
    <row r="264" spans="9:9" ht="15.75" customHeight="1">
      <c r="I264" s="3"/>
    </row>
    <row r="265" spans="9:9" ht="15.75" customHeight="1">
      <c r="I265" s="3"/>
    </row>
    <row r="266" spans="9:9" ht="15.75" customHeight="1">
      <c r="I266" s="3"/>
    </row>
    <row r="267" spans="9:9" ht="15.75" customHeight="1">
      <c r="I267" s="3"/>
    </row>
    <row r="268" spans="9:9" ht="15.75" customHeight="1">
      <c r="I268" s="3"/>
    </row>
    <row r="269" spans="9:9" ht="15.75" customHeight="1">
      <c r="I269" s="3"/>
    </row>
    <row r="270" spans="9:9" ht="15.75" customHeight="1">
      <c r="I270" s="3"/>
    </row>
    <row r="271" spans="9:9" ht="15.75" customHeight="1">
      <c r="I271" s="3"/>
    </row>
    <row r="272" spans="9:9" ht="15.75" customHeight="1">
      <c r="I272" s="3"/>
    </row>
    <row r="273" spans="9:9" ht="15.75" customHeight="1">
      <c r="I273" s="3"/>
    </row>
    <row r="274" spans="9:9" ht="15.75" customHeight="1">
      <c r="I274" s="3"/>
    </row>
    <row r="275" spans="9:9" ht="15.75" customHeight="1">
      <c r="I275" s="3"/>
    </row>
    <row r="276" spans="9:9" ht="15.75" customHeight="1">
      <c r="I276" s="3"/>
    </row>
    <row r="277" spans="9:9" ht="15.75" customHeight="1">
      <c r="I277" s="3"/>
    </row>
    <row r="278" spans="9:9" ht="15.75" customHeight="1">
      <c r="I278" s="3"/>
    </row>
    <row r="279" spans="9:9" ht="15.75" customHeight="1">
      <c r="I279" s="3"/>
    </row>
    <row r="280" spans="9:9" ht="15.75" customHeight="1">
      <c r="I280" s="3"/>
    </row>
    <row r="281" spans="9:9" ht="15.75" customHeight="1">
      <c r="I281" s="3"/>
    </row>
    <row r="282" spans="9:9" ht="15.75" customHeight="1">
      <c r="I282" s="3"/>
    </row>
    <row r="283" spans="9:9" ht="15.75" customHeight="1">
      <c r="I283" s="3"/>
    </row>
    <row r="284" spans="9:9" ht="15.75" customHeight="1">
      <c r="I284" s="3"/>
    </row>
    <row r="285" spans="9:9" ht="15.75" customHeight="1">
      <c r="I285" s="3"/>
    </row>
    <row r="286" spans="9:9" ht="15.75" customHeight="1">
      <c r="I286" s="3"/>
    </row>
    <row r="287" spans="9:9" ht="15.75" customHeight="1">
      <c r="I287" s="3"/>
    </row>
    <row r="288" spans="9:9" ht="15.75" customHeight="1">
      <c r="I288" s="3"/>
    </row>
    <row r="289" spans="9:9" ht="15.75" customHeight="1">
      <c r="I289" s="3"/>
    </row>
    <row r="290" spans="9:9" ht="15.75" customHeight="1">
      <c r="I290" s="3"/>
    </row>
    <row r="291" spans="9:9" ht="15.75" customHeight="1">
      <c r="I291" s="3"/>
    </row>
    <row r="292" spans="9:9" ht="15.75" customHeight="1">
      <c r="I292" s="3"/>
    </row>
    <row r="293" spans="9:9" ht="15.75" customHeight="1">
      <c r="I293" s="3"/>
    </row>
    <row r="294" spans="9:9" ht="15.75" customHeight="1">
      <c r="I294" s="3"/>
    </row>
    <row r="295" spans="9:9" ht="15.75" customHeight="1">
      <c r="I295" s="3"/>
    </row>
    <row r="296" spans="9:9" ht="15.75" customHeight="1">
      <c r="I296" s="3"/>
    </row>
    <row r="297" spans="9:9" ht="15.75" customHeight="1">
      <c r="I297" s="3"/>
    </row>
    <row r="298" spans="9:9" ht="15.75" customHeight="1">
      <c r="I298" s="3"/>
    </row>
    <row r="299" spans="9:9" ht="15.75" customHeight="1">
      <c r="I299" s="3"/>
    </row>
    <row r="300" spans="9:9" ht="15.75" customHeight="1">
      <c r="I300" s="3"/>
    </row>
    <row r="301" spans="9:9" ht="15.75" customHeight="1">
      <c r="I301" s="3"/>
    </row>
    <row r="302" spans="9:9" ht="15.75" customHeight="1">
      <c r="I302" s="3"/>
    </row>
    <row r="303" spans="9:9" ht="15.75" customHeight="1">
      <c r="I303" s="3"/>
    </row>
    <row r="304" spans="9:9" ht="15.75" customHeight="1">
      <c r="I304" s="3"/>
    </row>
    <row r="305" spans="9:9" ht="15.75" customHeight="1">
      <c r="I305" s="3"/>
    </row>
    <row r="306" spans="9:9" ht="15.75" customHeight="1">
      <c r="I306" s="3"/>
    </row>
    <row r="307" spans="9:9" ht="15.75" customHeight="1">
      <c r="I307" s="3"/>
    </row>
    <row r="308" spans="9:9" ht="15.75" customHeight="1">
      <c r="I308" s="3"/>
    </row>
    <row r="309" spans="9:9" ht="15.75" customHeight="1">
      <c r="I309" s="3"/>
    </row>
    <row r="310" spans="9:9" ht="15.75" customHeight="1">
      <c r="I310" s="3"/>
    </row>
    <row r="311" spans="9:9" ht="15.75" customHeight="1">
      <c r="I311" s="3"/>
    </row>
    <row r="312" spans="9:9" ht="15.75" customHeight="1">
      <c r="I312" s="3"/>
    </row>
    <row r="313" spans="9:9" ht="15.75" customHeight="1">
      <c r="I313" s="3"/>
    </row>
    <row r="314" spans="9:9" ht="15.75" customHeight="1">
      <c r="I314" s="3"/>
    </row>
    <row r="315" spans="9:9" ht="15.75" customHeight="1">
      <c r="I315" s="3"/>
    </row>
    <row r="316" spans="9:9" ht="15.75" customHeight="1">
      <c r="I316" s="3"/>
    </row>
    <row r="317" spans="9:9" ht="15.75" customHeight="1">
      <c r="I317" s="3"/>
    </row>
    <row r="318" spans="9:9" ht="15.75" customHeight="1">
      <c r="I318" s="3"/>
    </row>
    <row r="319" spans="9:9" ht="15.75" customHeight="1">
      <c r="I319" s="3"/>
    </row>
    <row r="320" spans="9:9" ht="15.75" customHeight="1">
      <c r="I320" s="3"/>
    </row>
    <row r="321" spans="9:9" ht="15.75" customHeight="1">
      <c r="I321" s="3"/>
    </row>
    <row r="322" spans="9:9" ht="15.75" customHeight="1">
      <c r="I322" s="3"/>
    </row>
    <row r="323" spans="9:9" ht="15.75" customHeight="1">
      <c r="I323" s="3"/>
    </row>
    <row r="324" spans="9:9" ht="15.75" customHeight="1">
      <c r="I324" s="3"/>
    </row>
    <row r="325" spans="9:9" ht="15.75" customHeight="1">
      <c r="I325" s="3"/>
    </row>
    <row r="326" spans="9:9" ht="15.75" customHeight="1">
      <c r="I326" s="3"/>
    </row>
    <row r="327" spans="9:9" ht="15.75" customHeight="1">
      <c r="I327" s="3"/>
    </row>
    <row r="328" spans="9:9" ht="15.75" customHeight="1">
      <c r="I328" s="3"/>
    </row>
    <row r="329" spans="9:9" ht="15.75" customHeight="1">
      <c r="I329" s="3"/>
    </row>
    <row r="330" spans="9:9" ht="15.75" customHeight="1">
      <c r="I330" s="3"/>
    </row>
    <row r="331" spans="9:9" ht="15.75" customHeight="1">
      <c r="I331" s="3"/>
    </row>
    <row r="332" spans="9:9" ht="15.75" customHeight="1">
      <c r="I332" s="3"/>
    </row>
    <row r="333" spans="9:9" ht="15.75" customHeight="1">
      <c r="I333" s="3"/>
    </row>
    <row r="334" spans="9:9" ht="15.75" customHeight="1">
      <c r="I334" s="3"/>
    </row>
    <row r="335" spans="9:9" ht="15.75" customHeight="1">
      <c r="I335" s="3"/>
    </row>
    <row r="336" spans="9:9" ht="15.75" customHeight="1">
      <c r="I336" s="3"/>
    </row>
    <row r="337" spans="9:9" ht="15.75" customHeight="1">
      <c r="I337" s="3"/>
    </row>
    <row r="338" spans="9:9" ht="15.75" customHeight="1">
      <c r="I338" s="3"/>
    </row>
    <row r="339" spans="9:9" ht="15.75" customHeight="1">
      <c r="I339" s="3"/>
    </row>
    <row r="340" spans="9:9" ht="15.75" customHeight="1">
      <c r="I340" s="3"/>
    </row>
    <row r="341" spans="9:9" ht="15.75" customHeight="1">
      <c r="I341" s="3"/>
    </row>
    <row r="342" spans="9:9" ht="15.75" customHeight="1">
      <c r="I342" s="3"/>
    </row>
    <row r="343" spans="9:9" ht="15.75" customHeight="1">
      <c r="I343" s="3"/>
    </row>
    <row r="344" spans="9:9" ht="15.75" customHeight="1">
      <c r="I344" s="3"/>
    </row>
    <row r="345" spans="9:9" ht="15.75" customHeight="1">
      <c r="I345" s="3"/>
    </row>
    <row r="346" spans="9:9" ht="15.75" customHeight="1">
      <c r="I346" s="3"/>
    </row>
    <row r="347" spans="9:9" ht="15.75" customHeight="1">
      <c r="I347" s="3"/>
    </row>
    <row r="348" spans="9:9" ht="15.75" customHeight="1">
      <c r="I348" s="3"/>
    </row>
    <row r="349" spans="9:9" ht="15.75" customHeight="1">
      <c r="I349" s="3"/>
    </row>
    <row r="350" spans="9:9" ht="15.75" customHeight="1">
      <c r="I350" s="3"/>
    </row>
    <row r="351" spans="9:9" ht="15.75" customHeight="1">
      <c r="I351" s="3"/>
    </row>
    <row r="352" spans="9:9" ht="15.75" customHeight="1">
      <c r="I352" s="3"/>
    </row>
    <row r="353" spans="9:9" ht="15.75" customHeight="1">
      <c r="I353" s="3"/>
    </row>
    <row r="354" spans="9:9" ht="15.75" customHeight="1">
      <c r="I354" s="3"/>
    </row>
    <row r="355" spans="9:9" ht="15.75" customHeight="1">
      <c r="I355" s="3"/>
    </row>
    <row r="356" spans="9:9" ht="15.75" customHeight="1">
      <c r="I356" s="3"/>
    </row>
    <row r="357" spans="9:9" ht="15.75" customHeight="1">
      <c r="I357" s="3"/>
    </row>
    <row r="358" spans="9:9" ht="15.75" customHeight="1">
      <c r="I358" s="3"/>
    </row>
    <row r="359" spans="9:9" ht="15.75" customHeight="1">
      <c r="I359" s="3"/>
    </row>
    <row r="360" spans="9:9" ht="15.75" customHeight="1">
      <c r="I360" s="3"/>
    </row>
    <row r="361" spans="9:9" ht="15.75" customHeight="1">
      <c r="I361" s="3"/>
    </row>
    <row r="362" spans="9:9" ht="15.75" customHeight="1">
      <c r="I362" s="3"/>
    </row>
    <row r="363" spans="9:9" ht="15.75" customHeight="1">
      <c r="I363" s="3"/>
    </row>
    <row r="364" spans="9:9" ht="15.75" customHeight="1">
      <c r="I364" s="3"/>
    </row>
    <row r="365" spans="9:9" ht="15.75" customHeight="1">
      <c r="I365" s="3"/>
    </row>
    <row r="366" spans="9:9" ht="15.75" customHeight="1">
      <c r="I366" s="3"/>
    </row>
    <row r="367" spans="9:9" ht="15.75" customHeight="1">
      <c r="I367" s="3"/>
    </row>
    <row r="368" spans="9:9" ht="15.75" customHeight="1">
      <c r="I368" s="3"/>
    </row>
    <row r="369" spans="9:9" ht="15.75" customHeight="1">
      <c r="I369" s="3"/>
    </row>
    <row r="370" spans="9:9" ht="15.75" customHeight="1">
      <c r="I370" s="3"/>
    </row>
    <row r="371" spans="9:9" ht="15.75" customHeight="1">
      <c r="I371" s="3"/>
    </row>
    <row r="372" spans="9:9" ht="15.75" customHeight="1">
      <c r="I372" s="3"/>
    </row>
    <row r="373" spans="9:9" ht="15.75" customHeight="1">
      <c r="I373" s="3"/>
    </row>
    <row r="374" spans="9:9" ht="15.75" customHeight="1">
      <c r="I374" s="3"/>
    </row>
    <row r="375" spans="9:9" ht="15.75" customHeight="1">
      <c r="I375" s="3"/>
    </row>
    <row r="376" spans="9:9" ht="15.75" customHeight="1">
      <c r="I376" s="3"/>
    </row>
    <row r="377" spans="9:9" ht="15.75" customHeight="1">
      <c r="I377" s="3"/>
    </row>
    <row r="378" spans="9:9" ht="15.75" customHeight="1">
      <c r="I378" s="3"/>
    </row>
    <row r="379" spans="9:9" ht="15.75" customHeight="1">
      <c r="I379" s="3"/>
    </row>
    <row r="380" spans="9:9" ht="15.75" customHeight="1">
      <c r="I380" s="3"/>
    </row>
    <row r="381" spans="9:9" ht="15.75" customHeight="1">
      <c r="I381" s="3"/>
    </row>
    <row r="382" spans="9:9" ht="15.75" customHeight="1">
      <c r="I382" s="3"/>
    </row>
    <row r="383" spans="9:9" ht="15.75" customHeight="1">
      <c r="I383" s="3"/>
    </row>
    <row r="384" spans="9:9" ht="15.75" customHeight="1">
      <c r="I384" s="3"/>
    </row>
    <row r="385" spans="9:9" ht="15.75" customHeight="1">
      <c r="I385" s="3"/>
    </row>
    <row r="386" spans="9:9" ht="15.75" customHeight="1">
      <c r="I386" s="3"/>
    </row>
    <row r="387" spans="9:9" ht="15.75" customHeight="1">
      <c r="I387" s="3"/>
    </row>
    <row r="388" spans="9:9" ht="15.75" customHeight="1">
      <c r="I388" s="3"/>
    </row>
    <row r="389" spans="9:9" ht="15.75" customHeight="1">
      <c r="I389" s="3"/>
    </row>
    <row r="390" spans="9:9" ht="15.75" customHeight="1">
      <c r="I390" s="3"/>
    </row>
    <row r="391" spans="9:9" ht="15.75" customHeight="1">
      <c r="I391" s="3"/>
    </row>
    <row r="392" spans="9:9" ht="15.75" customHeight="1">
      <c r="I392" s="3"/>
    </row>
    <row r="393" spans="9:9" ht="15.75" customHeight="1">
      <c r="I393" s="3"/>
    </row>
    <row r="394" spans="9:9" ht="15.75" customHeight="1">
      <c r="I394" s="3"/>
    </row>
    <row r="395" spans="9:9" ht="15.75" customHeight="1">
      <c r="I395" s="3"/>
    </row>
    <row r="396" spans="9:9" ht="15.75" customHeight="1">
      <c r="I396" s="3"/>
    </row>
    <row r="397" spans="9:9" ht="15.75" customHeight="1">
      <c r="I397" s="3"/>
    </row>
    <row r="398" spans="9:9" ht="15.75" customHeight="1">
      <c r="I398" s="3"/>
    </row>
    <row r="399" spans="9:9" ht="15.75" customHeight="1">
      <c r="I399" s="3"/>
    </row>
    <row r="400" spans="9:9" ht="15.75" customHeight="1">
      <c r="I400" s="3"/>
    </row>
    <row r="401" spans="9:9" ht="15.75" customHeight="1">
      <c r="I401" s="3"/>
    </row>
    <row r="402" spans="9:9" ht="15.75" customHeight="1">
      <c r="I402" s="3"/>
    </row>
    <row r="403" spans="9:9" ht="15.75" customHeight="1">
      <c r="I403" s="3"/>
    </row>
    <row r="404" spans="9:9" ht="15.75" customHeight="1">
      <c r="I404" s="3"/>
    </row>
    <row r="405" spans="9:9" ht="15.75" customHeight="1">
      <c r="I405" s="3"/>
    </row>
    <row r="406" spans="9:9" ht="15.75" customHeight="1">
      <c r="I406" s="3"/>
    </row>
    <row r="407" spans="9:9" ht="15.75" customHeight="1">
      <c r="I407" s="3"/>
    </row>
    <row r="408" spans="9:9" ht="15.75" customHeight="1">
      <c r="I408" s="3"/>
    </row>
    <row r="409" spans="9:9" ht="15.75" customHeight="1">
      <c r="I409" s="3"/>
    </row>
    <row r="410" spans="9:9" ht="15.75" customHeight="1">
      <c r="I410" s="3"/>
    </row>
    <row r="411" spans="9:9" ht="15.75" customHeight="1">
      <c r="I411" s="3"/>
    </row>
    <row r="412" spans="9:9" ht="15.75" customHeight="1">
      <c r="I412" s="3"/>
    </row>
    <row r="413" spans="9:9" ht="15.75" customHeight="1">
      <c r="I413" s="3"/>
    </row>
    <row r="414" spans="9:9" ht="15.75" customHeight="1">
      <c r="I414" s="3"/>
    </row>
    <row r="415" spans="9:9" ht="15.75" customHeight="1">
      <c r="I415" s="3"/>
    </row>
    <row r="416" spans="9:9" ht="15.75" customHeight="1">
      <c r="I416" s="3"/>
    </row>
    <row r="417" spans="9:9" ht="15.75" customHeight="1">
      <c r="I417" s="3"/>
    </row>
    <row r="418" spans="9:9" ht="15.75" customHeight="1">
      <c r="I418" s="3"/>
    </row>
    <row r="419" spans="9:9" ht="15.75" customHeight="1">
      <c r="I419" s="3"/>
    </row>
    <row r="420" spans="9:9" ht="15.75" customHeight="1">
      <c r="I420" s="3"/>
    </row>
    <row r="421" spans="9:9" ht="15.75" customHeight="1">
      <c r="I421" s="3"/>
    </row>
    <row r="422" spans="9:9" ht="15.75" customHeight="1">
      <c r="I422" s="3"/>
    </row>
    <row r="423" spans="9:9" ht="15.75" customHeight="1">
      <c r="I423" s="3"/>
    </row>
    <row r="424" spans="9:9" ht="15.75" customHeight="1">
      <c r="I424" s="3"/>
    </row>
    <row r="425" spans="9:9" ht="15.75" customHeight="1">
      <c r="I425" s="3"/>
    </row>
    <row r="426" spans="9:9" ht="15.75" customHeight="1">
      <c r="I426" s="3"/>
    </row>
    <row r="427" spans="9:9" ht="15.75" customHeight="1">
      <c r="I427" s="3"/>
    </row>
    <row r="428" spans="9:9" ht="15.75" customHeight="1">
      <c r="I428" s="3"/>
    </row>
    <row r="429" spans="9:9" ht="15.75" customHeight="1">
      <c r="I429" s="3"/>
    </row>
    <row r="430" spans="9:9" ht="15.75" customHeight="1">
      <c r="I430" s="3"/>
    </row>
    <row r="431" spans="9:9" ht="15.75" customHeight="1">
      <c r="I431" s="3"/>
    </row>
    <row r="432" spans="9:9" ht="15.75" customHeight="1">
      <c r="I432" s="3"/>
    </row>
    <row r="433" spans="9:9" ht="15.75" customHeight="1">
      <c r="I433" s="3"/>
    </row>
    <row r="434" spans="9:9" ht="15.75" customHeight="1">
      <c r="I434" s="3"/>
    </row>
    <row r="435" spans="9:9" ht="15.75" customHeight="1">
      <c r="I435" s="3"/>
    </row>
    <row r="436" spans="9:9" ht="15.75" customHeight="1">
      <c r="I436" s="3"/>
    </row>
    <row r="437" spans="9:9" ht="15.75" customHeight="1">
      <c r="I437" s="3"/>
    </row>
    <row r="438" spans="9:9" ht="15.75" customHeight="1">
      <c r="I438" s="3"/>
    </row>
    <row r="439" spans="9:9" ht="15.75" customHeight="1">
      <c r="I439" s="3"/>
    </row>
    <row r="440" spans="9:9" ht="15.75" customHeight="1">
      <c r="I440" s="3"/>
    </row>
    <row r="441" spans="9:9" ht="15.75" customHeight="1">
      <c r="I441" s="3"/>
    </row>
    <row r="442" spans="9:9" ht="15.75" customHeight="1">
      <c r="I442" s="3"/>
    </row>
    <row r="443" spans="9:9" ht="15.75" customHeight="1">
      <c r="I443" s="3"/>
    </row>
    <row r="444" spans="9:9" ht="15.75" customHeight="1">
      <c r="I444" s="3"/>
    </row>
    <row r="445" spans="9:9" ht="15.75" customHeight="1">
      <c r="I445" s="3"/>
    </row>
    <row r="446" spans="9:9" ht="15.75" customHeight="1">
      <c r="I446" s="3"/>
    </row>
    <row r="447" spans="9:9" ht="15.75" customHeight="1">
      <c r="I447" s="3"/>
    </row>
    <row r="448" spans="9:9" ht="15.75" customHeight="1">
      <c r="I448" s="3"/>
    </row>
    <row r="449" spans="9:9" ht="15.75" customHeight="1">
      <c r="I449" s="3"/>
    </row>
    <row r="450" spans="9:9" ht="15.75" customHeight="1">
      <c r="I450" s="3"/>
    </row>
    <row r="451" spans="9:9" ht="15.75" customHeight="1">
      <c r="I451" s="3"/>
    </row>
    <row r="452" spans="9:9" ht="15.75" customHeight="1">
      <c r="I452" s="3"/>
    </row>
    <row r="453" spans="9:9" ht="15.75" customHeight="1">
      <c r="I453" s="3"/>
    </row>
    <row r="454" spans="9:9" ht="15.75" customHeight="1">
      <c r="I454" s="3"/>
    </row>
    <row r="455" spans="9:9" ht="15.75" customHeight="1">
      <c r="I455" s="3"/>
    </row>
    <row r="456" spans="9:9" ht="15.75" customHeight="1">
      <c r="I456" s="3"/>
    </row>
    <row r="457" spans="9:9" ht="15.75" customHeight="1">
      <c r="I457" s="3"/>
    </row>
    <row r="458" spans="9:9" ht="15.75" customHeight="1">
      <c r="I458" s="3"/>
    </row>
    <row r="459" spans="9:9" ht="15.75" customHeight="1">
      <c r="I459" s="3"/>
    </row>
    <row r="460" spans="9:9" ht="15.75" customHeight="1">
      <c r="I460" s="3"/>
    </row>
    <row r="461" spans="9:9" ht="15.75" customHeight="1">
      <c r="I461" s="3"/>
    </row>
    <row r="462" spans="9:9" ht="15.75" customHeight="1">
      <c r="I462" s="3"/>
    </row>
    <row r="463" spans="9:9" ht="15.75" customHeight="1">
      <c r="I463" s="3"/>
    </row>
    <row r="464" spans="9:9" ht="15.75" customHeight="1">
      <c r="I464" s="3"/>
    </row>
    <row r="465" spans="9:9" ht="15.75" customHeight="1">
      <c r="I465" s="3"/>
    </row>
    <row r="466" spans="9:9" ht="15.75" customHeight="1">
      <c r="I466" s="3"/>
    </row>
    <row r="467" spans="9:9" ht="15.75" customHeight="1">
      <c r="I467" s="3"/>
    </row>
    <row r="468" spans="9:9" ht="15.75" customHeight="1">
      <c r="I468" s="3"/>
    </row>
    <row r="469" spans="9:9" ht="15.75" customHeight="1">
      <c r="I469" s="3"/>
    </row>
    <row r="470" spans="9:9" ht="15.75" customHeight="1">
      <c r="I470" s="3"/>
    </row>
    <row r="471" spans="9:9" ht="15.75" customHeight="1">
      <c r="I471" s="3"/>
    </row>
    <row r="472" spans="9:9" ht="15.75" customHeight="1">
      <c r="I472" s="3"/>
    </row>
    <row r="473" spans="9:9" ht="15.75" customHeight="1">
      <c r="I473" s="3"/>
    </row>
    <row r="474" spans="9:9" ht="15.75" customHeight="1">
      <c r="I474" s="3"/>
    </row>
    <row r="475" spans="9:9" ht="15.75" customHeight="1">
      <c r="I475" s="3"/>
    </row>
    <row r="476" spans="9:9" ht="15.75" customHeight="1">
      <c r="I476" s="3"/>
    </row>
    <row r="477" spans="9:9" ht="15.75" customHeight="1">
      <c r="I477" s="3"/>
    </row>
    <row r="478" spans="9:9" ht="15.75" customHeight="1">
      <c r="I478" s="3"/>
    </row>
    <row r="479" spans="9:9" ht="15.75" customHeight="1">
      <c r="I479" s="3"/>
    </row>
    <row r="480" spans="9:9" ht="15.75" customHeight="1">
      <c r="I480" s="3"/>
    </row>
    <row r="481" spans="9:9" ht="15.75" customHeight="1">
      <c r="I481" s="3"/>
    </row>
    <row r="482" spans="9:9" ht="15.75" customHeight="1">
      <c r="I482" s="3"/>
    </row>
    <row r="483" spans="9:9" ht="15.75" customHeight="1">
      <c r="I483" s="3"/>
    </row>
    <row r="484" spans="9:9" ht="15.75" customHeight="1">
      <c r="I484" s="3"/>
    </row>
    <row r="485" spans="9:9" ht="15.75" customHeight="1">
      <c r="I485" s="3"/>
    </row>
    <row r="486" spans="9:9" ht="15.75" customHeight="1">
      <c r="I486" s="3"/>
    </row>
    <row r="487" spans="9:9" ht="15.75" customHeight="1">
      <c r="I487" s="3"/>
    </row>
    <row r="488" spans="9:9" ht="15.75" customHeight="1">
      <c r="I488" s="3"/>
    </row>
    <row r="489" spans="9:9" ht="15.75" customHeight="1">
      <c r="I489" s="3"/>
    </row>
    <row r="490" spans="9:9" ht="15.75" customHeight="1">
      <c r="I490" s="3"/>
    </row>
    <row r="491" spans="9:9" ht="15.75" customHeight="1">
      <c r="I491" s="3"/>
    </row>
    <row r="492" spans="9:9" ht="15.75" customHeight="1">
      <c r="I492" s="3"/>
    </row>
    <row r="493" spans="9:9" ht="15.75" customHeight="1">
      <c r="I493" s="3"/>
    </row>
    <row r="494" spans="9:9" ht="15.75" customHeight="1">
      <c r="I494" s="3"/>
    </row>
    <row r="495" spans="9:9" ht="15.75" customHeight="1">
      <c r="I495" s="3"/>
    </row>
    <row r="496" spans="9:9" ht="15.75" customHeight="1">
      <c r="I496" s="3"/>
    </row>
    <row r="497" spans="9:9" ht="15.75" customHeight="1">
      <c r="I497" s="3"/>
    </row>
    <row r="498" spans="9:9" ht="15.75" customHeight="1">
      <c r="I498" s="3"/>
    </row>
    <row r="499" spans="9:9" ht="15.75" customHeight="1">
      <c r="I499" s="3"/>
    </row>
    <row r="500" spans="9:9" ht="15.75" customHeight="1">
      <c r="I500" s="3"/>
    </row>
    <row r="501" spans="9:9" ht="15.75" customHeight="1">
      <c r="I501" s="3"/>
    </row>
    <row r="502" spans="9:9" ht="15.75" customHeight="1">
      <c r="I502" s="3"/>
    </row>
    <row r="503" spans="9:9" ht="15.75" customHeight="1">
      <c r="I503" s="3"/>
    </row>
    <row r="504" spans="9:9" ht="15.75" customHeight="1">
      <c r="I504" s="3"/>
    </row>
    <row r="505" spans="9:9" ht="15.75" customHeight="1">
      <c r="I505" s="3"/>
    </row>
    <row r="506" spans="9:9" ht="15.75" customHeight="1">
      <c r="I506" s="3"/>
    </row>
    <row r="507" spans="9:9" ht="15.75" customHeight="1">
      <c r="I507" s="3"/>
    </row>
    <row r="508" spans="9:9" ht="15.75" customHeight="1">
      <c r="I508" s="3"/>
    </row>
    <row r="509" spans="9:9" ht="15.75" customHeight="1">
      <c r="I509" s="3"/>
    </row>
    <row r="510" spans="9:9" ht="15.75" customHeight="1">
      <c r="I510" s="3"/>
    </row>
    <row r="511" spans="9:9" ht="15.75" customHeight="1">
      <c r="I511" s="3"/>
    </row>
    <row r="512" spans="9:9" ht="15.75" customHeight="1">
      <c r="I512" s="3"/>
    </row>
    <row r="513" spans="9:9" ht="15.75" customHeight="1">
      <c r="I513" s="3"/>
    </row>
    <row r="514" spans="9:9" ht="15.75" customHeight="1">
      <c r="I514" s="3"/>
    </row>
    <row r="515" spans="9:9" ht="15.75" customHeight="1">
      <c r="I515" s="3"/>
    </row>
    <row r="516" spans="9:9" ht="15.75" customHeight="1">
      <c r="I516" s="3"/>
    </row>
    <row r="517" spans="9:9" ht="15.75" customHeight="1">
      <c r="I517" s="3"/>
    </row>
    <row r="518" spans="9:9" ht="15.75" customHeight="1">
      <c r="I518" s="3"/>
    </row>
    <row r="519" spans="9:9" ht="15.75" customHeight="1">
      <c r="I519" s="3"/>
    </row>
    <row r="520" spans="9:9" ht="15.75" customHeight="1">
      <c r="I520" s="3"/>
    </row>
    <row r="521" spans="9:9" ht="15.75" customHeight="1">
      <c r="I521" s="3"/>
    </row>
    <row r="522" spans="9:9" ht="15.75" customHeight="1">
      <c r="I522" s="3"/>
    </row>
    <row r="523" spans="9:9" ht="15.75" customHeight="1">
      <c r="I523" s="3"/>
    </row>
    <row r="524" spans="9:9" ht="15.75" customHeight="1">
      <c r="I524" s="3"/>
    </row>
    <row r="525" spans="9:9" ht="15.75" customHeight="1">
      <c r="I525" s="3"/>
    </row>
    <row r="526" spans="9:9" ht="15.75" customHeight="1">
      <c r="I526" s="3"/>
    </row>
    <row r="527" spans="9:9" ht="15.75" customHeight="1">
      <c r="I527" s="3"/>
    </row>
    <row r="528" spans="9:9" ht="15.75" customHeight="1">
      <c r="I528" s="3"/>
    </row>
    <row r="529" spans="9:9" ht="15.75" customHeight="1">
      <c r="I529" s="3"/>
    </row>
    <row r="530" spans="9:9" ht="15.75" customHeight="1">
      <c r="I530" s="3"/>
    </row>
    <row r="531" spans="9:9" ht="15.75" customHeight="1">
      <c r="I531" s="3"/>
    </row>
    <row r="532" spans="9:9" ht="15.75" customHeight="1">
      <c r="I532" s="3"/>
    </row>
    <row r="533" spans="9:9" ht="15.75" customHeight="1">
      <c r="I533" s="3"/>
    </row>
    <row r="534" spans="9:9" ht="15.75" customHeight="1">
      <c r="I534" s="3"/>
    </row>
    <row r="535" spans="9:9" ht="15.75" customHeight="1">
      <c r="I535" s="3"/>
    </row>
    <row r="536" spans="9:9" ht="15.75" customHeight="1">
      <c r="I536" s="3"/>
    </row>
    <row r="537" spans="9:9" ht="15.75" customHeight="1">
      <c r="I537" s="3"/>
    </row>
    <row r="538" spans="9:9" ht="15.75" customHeight="1">
      <c r="I538" s="3"/>
    </row>
    <row r="539" spans="9:9" ht="15.75" customHeight="1">
      <c r="I539" s="3"/>
    </row>
    <row r="540" spans="9:9" ht="15.75" customHeight="1">
      <c r="I540" s="3"/>
    </row>
    <row r="541" spans="9:9" ht="15.75" customHeight="1">
      <c r="I541" s="3"/>
    </row>
    <row r="542" spans="9:9" ht="15.75" customHeight="1">
      <c r="I542" s="3"/>
    </row>
    <row r="543" spans="9:9" ht="15.75" customHeight="1">
      <c r="I543" s="3"/>
    </row>
    <row r="544" spans="9:9" ht="15.75" customHeight="1">
      <c r="I544" s="3"/>
    </row>
    <row r="545" spans="9:9" ht="15.75" customHeight="1">
      <c r="I545" s="3"/>
    </row>
    <row r="546" spans="9:9" ht="15.75" customHeight="1">
      <c r="I546" s="3"/>
    </row>
    <row r="547" spans="9:9" ht="15.75" customHeight="1">
      <c r="I547" s="3"/>
    </row>
    <row r="548" spans="9:9" ht="15.75" customHeight="1">
      <c r="I548" s="3"/>
    </row>
    <row r="549" spans="9:9" ht="15.75" customHeight="1">
      <c r="I549" s="3"/>
    </row>
    <row r="550" spans="9:9" ht="15.75" customHeight="1">
      <c r="I550" s="3"/>
    </row>
    <row r="551" spans="9:9" ht="15.75" customHeight="1">
      <c r="I551" s="3"/>
    </row>
    <row r="552" spans="9:9" ht="15.75" customHeight="1">
      <c r="I552" s="3"/>
    </row>
    <row r="553" spans="9:9" ht="15.75" customHeight="1">
      <c r="I553" s="3"/>
    </row>
    <row r="554" spans="9:9" ht="15.75" customHeight="1">
      <c r="I554" s="3"/>
    </row>
    <row r="555" spans="9:9" ht="15.75" customHeight="1">
      <c r="I555" s="3"/>
    </row>
    <row r="556" spans="9:9" ht="15.75" customHeight="1">
      <c r="I556" s="3"/>
    </row>
    <row r="557" spans="9:9" ht="15.75" customHeight="1">
      <c r="I557" s="3"/>
    </row>
    <row r="558" spans="9:9" ht="15.75" customHeight="1">
      <c r="I558" s="3"/>
    </row>
    <row r="559" spans="9:9" ht="15.75" customHeight="1">
      <c r="I559" s="3"/>
    </row>
    <row r="560" spans="9:9" ht="15.75" customHeight="1">
      <c r="I560" s="3"/>
    </row>
    <row r="561" spans="9:9" ht="15.75" customHeight="1">
      <c r="I561" s="3"/>
    </row>
    <row r="562" spans="9:9" ht="15.75" customHeight="1">
      <c r="I562" s="3"/>
    </row>
    <row r="563" spans="9:9" ht="15.75" customHeight="1">
      <c r="I563" s="3"/>
    </row>
    <row r="564" spans="9:9" ht="15.75" customHeight="1">
      <c r="I564" s="3"/>
    </row>
    <row r="565" spans="9:9" ht="15.75" customHeight="1">
      <c r="I565" s="3"/>
    </row>
    <row r="566" spans="9:9" ht="15.75" customHeight="1">
      <c r="I566" s="3"/>
    </row>
    <row r="567" spans="9:9" ht="15.75" customHeight="1">
      <c r="I567" s="3"/>
    </row>
    <row r="568" spans="9:9" ht="15.75" customHeight="1">
      <c r="I568" s="3"/>
    </row>
    <row r="569" spans="9:9" ht="15.75" customHeight="1">
      <c r="I569" s="3"/>
    </row>
    <row r="570" spans="9:9" ht="15.75" customHeight="1">
      <c r="I570" s="3"/>
    </row>
    <row r="571" spans="9:9" ht="15.75" customHeight="1">
      <c r="I571" s="3"/>
    </row>
    <row r="572" spans="9:9" ht="15.75" customHeight="1">
      <c r="I572" s="3"/>
    </row>
    <row r="573" spans="9:9" ht="15.75" customHeight="1">
      <c r="I573" s="3"/>
    </row>
    <row r="574" spans="9:9" ht="15.75" customHeight="1">
      <c r="I574" s="3"/>
    </row>
    <row r="575" spans="9:9" ht="15.75" customHeight="1">
      <c r="I575" s="3"/>
    </row>
    <row r="576" spans="9:9" ht="15.75" customHeight="1">
      <c r="I576" s="3"/>
    </row>
    <row r="577" spans="9:9" ht="15.75" customHeight="1">
      <c r="I577" s="3"/>
    </row>
    <row r="578" spans="9:9" ht="15.75" customHeight="1">
      <c r="I578" s="3"/>
    </row>
    <row r="579" spans="9:9" ht="15.75" customHeight="1">
      <c r="I579" s="3"/>
    </row>
    <row r="580" spans="9:9" ht="15.75" customHeight="1">
      <c r="I580" s="3"/>
    </row>
    <row r="581" spans="9:9" ht="15.75" customHeight="1">
      <c r="I581" s="3"/>
    </row>
    <row r="582" spans="9:9" ht="15.75" customHeight="1">
      <c r="I582" s="3"/>
    </row>
    <row r="583" spans="9:9" ht="15.75" customHeight="1">
      <c r="I583" s="3"/>
    </row>
    <row r="584" spans="9:9" ht="15.75" customHeight="1">
      <c r="I584" s="3"/>
    </row>
    <row r="585" spans="9:9" ht="15.75" customHeight="1">
      <c r="I585" s="3"/>
    </row>
    <row r="586" spans="9:9" ht="15.75" customHeight="1">
      <c r="I586" s="3"/>
    </row>
    <row r="587" spans="9:9" ht="15.75" customHeight="1">
      <c r="I587" s="3"/>
    </row>
    <row r="588" spans="9:9" ht="15.75" customHeight="1">
      <c r="I588" s="3"/>
    </row>
    <row r="589" spans="9:9" ht="15.75" customHeight="1">
      <c r="I589" s="3"/>
    </row>
    <row r="590" spans="9:9" ht="15.75" customHeight="1">
      <c r="I590" s="3"/>
    </row>
    <row r="591" spans="9:9" ht="15.75" customHeight="1">
      <c r="I591" s="3"/>
    </row>
    <row r="592" spans="9:9" ht="15.75" customHeight="1">
      <c r="I592" s="3"/>
    </row>
    <row r="593" spans="9:9" ht="15.75" customHeight="1">
      <c r="I593" s="3"/>
    </row>
    <row r="594" spans="9:9" ht="15.75" customHeight="1">
      <c r="I594" s="3"/>
    </row>
    <row r="595" spans="9:9" ht="15.75" customHeight="1">
      <c r="I595" s="3"/>
    </row>
    <row r="596" spans="9:9" ht="15.75" customHeight="1">
      <c r="I596" s="3"/>
    </row>
    <row r="597" spans="9:9" ht="15.75" customHeight="1">
      <c r="I597" s="3"/>
    </row>
    <row r="598" spans="9:9" ht="15.75" customHeight="1">
      <c r="I598" s="3"/>
    </row>
    <row r="599" spans="9:9" ht="15.75" customHeight="1">
      <c r="I599" s="3"/>
    </row>
    <row r="600" spans="9:9" ht="15.75" customHeight="1">
      <c r="I600" s="3"/>
    </row>
    <row r="601" spans="9:9" ht="15.75" customHeight="1">
      <c r="I601" s="3"/>
    </row>
    <row r="602" spans="9:9" ht="15.75" customHeight="1">
      <c r="I602" s="3"/>
    </row>
    <row r="603" spans="9:9" ht="15.75" customHeight="1">
      <c r="I603" s="3"/>
    </row>
    <row r="604" spans="9:9" ht="15.75" customHeight="1">
      <c r="I604" s="3"/>
    </row>
    <row r="605" spans="9:9" ht="15.75" customHeight="1">
      <c r="I605" s="3"/>
    </row>
    <row r="606" spans="9:9" ht="15.75" customHeight="1">
      <c r="I606" s="3"/>
    </row>
    <row r="607" spans="9:9" ht="15.75" customHeight="1">
      <c r="I607" s="3"/>
    </row>
    <row r="608" spans="9:9" ht="15.75" customHeight="1">
      <c r="I608" s="3"/>
    </row>
    <row r="609" spans="9:9" ht="15.75" customHeight="1">
      <c r="I609" s="3"/>
    </row>
    <row r="610" spans="9:9" ht="15.75" customHeight="1">
      <c r="I610" s="3"/>
    </row>
    <row r="611" spans="9:9" ht="15.75" customHeight="1">
      <c r="I611" s="3"/>
    </row>
    <row r="612" spans="9:9" ht="15.75" customHeight="1">
      <c r="I612" s="3"/>
    </row>
    <row r="613" spans="9:9" ht="15.75" customHeight="1">
      <c r="I613" s="3"/>
    </row>
    <row r="614" spans="9:9" ht="15.75" customHeight="1">
      <c r="I614" s="3"/>
    </row>
    <row r="615" spans="9:9" ht="15.75" customHeight="1">
      <c r="I615" s="3"/>
    </row>
    <row r="616" spans="9:9" ht="15.75" customHeight="1">
      <c r="I616" s="3"/>
    </row>
    <row r="617" spans="9:9" ht="15.75" customHeight="1">
      <c r="I617" s="3"/>
    </row>
    <row r="618" spans="9:9" ht="15.75" customHeight="1">
      <c r="I618" s="3"/>
    </row>
    <row r="619" spans="9:9" ht="15.75" customHeight="1">
      <c r="I619" s="3"/>
    </row>
    <row r="620" spans="9:9" ht="15.75" customHeight="1">
      <c r="I620" s="3"/>
    </row>
    <row r="621" spans="9:9" ht="15.75" customHeight="1">
      <c r="I621" s="3"/>
    </row>
    <row r="622" spans="9:9" ht="15.75" customHeight="1">
      <c r="I622" s="3"/>
    </row>
    <row r="623" spans="9:9" ht="15.75" customHeight="1">
      <c r="I623" s="3"/>
    </row>
    <row r="624" spans="9:9" ht="15.75" customHeight="1">
      <c r="I624" s="3"/>
    </row>
    <row r="625" spans="9:9" ht="15.75" customHeight="1">
      <c r="I625" s="3"/>
    </row>
    <row r="626" spans="9:9" ht="15.75" customHeight="1">
      <c r="I626" s="3"/>
    </row>
    <row r="627" spans="9:9" ht="15.75" customHeight="1">
      <c r="I627" s="3"/>
    </row>
    <row r="628" spans="9:9" ht="15.75" customHeight="1">
      <c r="I628" s="3"/>
    </row>
    <row r="629" spans="9:9" ht="15.75" customHeight="1">
      <c r="I629" s="3"/>
    </row>
    <row r="630" spans="9:9" ht="15.75" customHeight="1">
      <c r="I630" s="3"/>
    </row>
    <row r="631" spans="9:9" ht="15.75" customHeight="1">
      <c r="I631" s="3"/>
    </row>
    <row r="632" spans="9:9" ht="15.75" customHeight="1">
      <c r="I632" s="3"/>
    </row>
    <row r="633" spans="9:9" ht="15.75" customHeight="1">
      <c r="I633" s="3"/>
    </row>
    <row r="634" spans="9:9" ht="15.75" customHeight="1">
      <c r="I634" s="3"/>
    </row>
    <row r="635" spans="9:9" ht="15.75" customHeight="1">
      <c r="I635" s="3"/>
    </row>
    <row r="636" spans="9:9" ht="15.75" customHeight="1">
      <c r="I636" s="3"/>
    </row>
    <row r="637" spans="9:9" ht="15.75" customHeight="1">
      <c r="I637" s="3"/>
    </row>
    <row r="638" spans="9:9" ht="15.75" customHeight="1">
      <c r="I638" s="3"/>
    </row>
    <row r="639" spans="9:9" ht="15.75" customHeight="1">
      <c r="I639" s="3"/>
    </row>
    <row r="640" spans="9:9" ht="15.75" customHeight="1">
      <c r="I640" s="3"/>
    </row>
    <row r="641" spans="9:9" ht="15.75" customHeight="1">
      <c r="I641" s="3"/>
    </row>
    <row r="642" spans="9:9" ht="15.75" customHeight="1">
      <c r="I642" s="3"/>
    </row>
    <row r="643" spans="9:9" ht="15.75" customHeight="1">
      <c r="I643" s="3"/>
    </row>
    <row r="644" spans="9:9" ht="15.75" customHeight="1">
      <c r="I644" s="3"/>
    </row>
    <row r="645" spans="9:9" ht="15.75" customHeight="1">
      <c r="I645" s="3"/>
    </row>
    <row r="646" spans="9:9" ht="15.75" customHeight="1">
      <c r="I646" s="3"/>
    </row>
    <row r="647" spans="9:9" ht="15.75" customHeight="1">
      <c r="I647" s="3"/>
    </row>
    <row r="648" spans="9:9" ht="15.75" customHeight="1">
      <c r="I648" s="3"/>
    </row>
    <row r="649" spans="9:9" ht="15.75" customHeight="1">
      <c r="I649" s="3"/>
    </row>
    <row r="650" spans="9:9" ht="15.75" customHeight="1">
      <c r="I650" s="3"/>
    </row>
    <row r="651" spans="9:9" ht="15.75" customHeight="1">
      <c r="I651" s="3"/>
    </row>
    <row r="652" spans="9:9" ht="15.75" customHeight="1">
      <c r="I652" s="3"/>
    </row>
    <row r="653" spans="9:9" ht="15.75" customHeight="1">
      <c r="I653" s="3"/>
    </row>
    <row r="654" spans="9:9" ht="15.75" customHeight="1">
      <c r="I654" s="3"/>
    </row>
    <row r="655" spans="9:9" ht="15.75" customHeight="1">
      <c r="I655" s="3"/>
    </row>
    <row r="656" spans="9:9" ht="15.75" customHeight="1">
      <c r="I656" s="3"/>
    </row>
    <row r="657" spans="9:9" ht="15.75" customHeight="1">
      <c r="I657" s="3"/>
    </row>
    <row r="658" spans="9:9" ht="15.75" customHeight="1">
      <c r="I658" s="3"/>
    </row>
    <row r="659" spans="9:9" ht="15.75" customHeight="1">
      <c r="I659" s="3"/>
    </row>
    <row r="660" spans="9:9" ht="15.75" customHeight="1">
      <c r="I660" s="3"/>
    </row>
    <row r="661" spans="9:9" ht="15.75" customHeight="1">
      <c r="I661" s="3"/>
    </row>
    <row r="662" spans="9:9" ht="15.75" customHeight="1">
      <c r="I662" s="3"/>
    </row>
    <row r="663" spans="9:9" ht="15.75" customHeight="1">
      <c r="I663" s="3"/>
    </row>
    <row r="664" spans="9:9" ht="15.75" customHeight="1">
      <c r="I664" s="3"/>
    </row>
    <row r="665" spans="9:9" ht="15.75" customHeight="1">
      <c r="I665" s="3"/>
    </row>
    <row r="666" spans="9:9" ht="15.75" customHeight="1">
      <c r="I666" s="3"/>
    </row>
    <row r="667" spans="9:9" ht="15.75" customHeight="1">
      <c r="I667" s="3"/>
    </row>
    <row r="668" spans="9:9" ht="15.75" customHeight="1">
      <c r="I668" s="3"/>
    </row>
    <row r="669" spans="9:9" ht="15.75" customHeight="1">
      <c r="I669" s="3"/>
    </row>
    <row r="670" spans="9:9" ht="15.75" customHeight="1">
      <c r="I670" s="3"/>
    </row>
    <row r="671" spans="9:9" ht="15.75" customHeight="1">
      <c r="I671" s="3"/>
    </row>
    <row r="672" spans="9:9" ht="15.75" customHeight="1">
      <c r="I672" s="3"/>
    </row>
    <row r="673" spans="9:9" ht="15.75" customHeight="1">
      <c r="I673" s="3"/>
    </row>
    <row r="674" spans="9:9" ht="15.75" customHeight="1">
      <c r="I674" s="3"/>
    </row>
    <row r="675" spans="9:9" ht="15.75" customHeight="1">
      <c r="I675" s="3"/>
    </row>
    <row r="676" spans="9:9" ht="15.75" customHeight="1">
      <c r="I676" s="3"/>
    </row>
    <row r="677" spans="9:9" ht="15.75" customHeight="1">
      <c r="I677" s="3"/>
    </row>
    <row r="678" spans="9:9" ht="15.75" customHeight="1">
      <c r="I678" s="3"/>
    </row>
    <row r="679" spans="9:9" ht="15.75" customHeight="1">
      <c r="I679" s="3"/>
    </row>
    <row r="680" spans="9:9" ht="15.75" customHeight="1">
      <c r="I680" s="3"/>
    </row>
    <row r="681" spans="9:9" ht="15.75" customHeight="1">
      <c r="I681" s="3"/>
    </row>
    <row r="682" spans="9:9" ht="15.75" customHeight="1">
      <c r="I682" s="3"/>
    </row>
    <row r="683" spans="9:9" ht="15.75" customHeight="1">
      <c r="I683" s="3"/>
    </row>
    <row r="684" spans="9:9" ht="15.75" customHeight="1">
      <c r="I684" s="3"/>
    </row>
    <row r="685" spans="9:9" ht="15.75" customHeight="1">
      <c r="I685" s="3"/>
    </row>
    <row r="686" spans="9:9" ht="15.75" customHeight="1">
      <c r="I686" s="3"/>
    </row>
    <row r="687" spans="9:9" ht="15.75" customHeight="1">
      <c r="I687" s="3"/>
    </row>
    <row r="688" spans="9:9" ht="15.75" customHeight="1">
      <c r="I688" s="3"/>
    </row>
    <row r="689" spans="9:9" ht="15.75" customHeight="1">
      <c r="I689" s="3"/>
    </row>
    <row r="690" spans="9:9" ht="15.75" customHeight="1">
      <c r="I690" s="3"/>
    </row>
    <row r="691" spans="9:9" ht="15.75" customHeight="1">
      <c r="I691" s="3"/>
    </row>
    <row r="692" spans="9:9" ht="15.75" customHeight="1">
      <c r="I692" s="3"/>
    </row>
    <row r="693" spans="9:9" ht="15.75" customHeight="1">
      <c r="I693" s="3"/>
    </row>
    <row r="694" spans="9:9" ht="15.75" customHeight="1">
      <c r="I694" s="3"/>
    </row>
    <row r="695" spans="9:9" ht="15.75" customHeight="1">
      <c r="I695" s="3"/>
    </row>
    <row r="696" spans="9:9" ht="15.75" customHeight="1">
      <c r="I696" s="3"/>
    </row>
    <row r="697" spans="9:9" ht="15.75" customHeight="1">
      <c r="I697" s="3"/>
    </row>
    <row r="698" spans="9:9" ht="15.75" customHeight="1">
      <c r="I698" s="3"/>
    </row>
    <row r="699" spans="9:9" ht="15.75" customHeight="1">
      <c r="I699" s="3"/>
    </row>
    <row r="700" spans="9:9" ht="15.75" customHeight="1">
      <c r="I700" s="3"/>
    </row>
    <row r="701" spans="9:9" ht="15.75" customHeight="1">
      <c r="I701" s="3"/>
    </row>
    <row r="702" spans="9:9" ht="15.75" customHeight="1">
      <c r="I702" s="3"/>
    </row>
    <row r="703" spans="9:9" ht="15.75" customHeight="1">
      <c r="I703" s="3"/>
    </row>
    <row r="704" spans="9:9" ht="15.75" customHeight="1">
      <c r="I704" s="3"/>
    </row>
    <row r="705" spans="9:9" ht="15.75" customHeight="1">
      <c r="I705" s="3"/>
    </row>
    <row r="706" spans="9:9" ht="15.75" customHeight="1">
      <c r="I706" s="3"/>
    </row>
    <row r="707" spans="9:9" ht="15.75" customHeight="1">
      <c r="I707" s="3"/>
    </row>
    <row r="708" spans="9:9" ht="15.75" customHeight="1">
      <c r="I708" s="3"/>
    </row>
    <row r="709" spans="9:9" ht="15.75" customHeight="1">
      <c r="I709" s="3"/>
    </row>
    <row r="710" spans="9:9" ht="15.75" customHeight="1">
      <c r="I710" s="3"/>
    </row>
    <row r="711" spans="9:9" ht="15.75" customHeight="1">
      <c r="I711" s="3"/>
    </row>
    <row r="712" spans="9:9" ht="15.75" customHeight="1">
      <c r="I712" s="3"/>
    </row>
    <row r="713" spans="9:9" ht="15.75" customHeight="1">
      <c r="I713" s="3"/>
    </row>
    <row r="714" spans="9:9" ht="15.75" customHeight="1">
      <c r="I714" s="3"/>
    </row>
    <row r="715" spans="9:9" ht="15.75" customHeight="1">
      <c r="I715" s="3"/>
    </row>
    <row r="716" spans="9:9" ht="15.75" customHeight="1">
      <c r="I716" s="3"/>
    </row>
    <row r="717" spans="9:9" ht="15.75" customHeight="1">
      <c r="I717" s="3"/>
    </row>
    <row r="718" spans="9:9" ht="15.75" customHeight="1">
      <c r="I718" s="3"/>
    </row>
    <row r="719" spans="9:9" ht="15.75" customHeight="1">
      <c r="I719" s="3"/>
    </row>
    <row r="720" spans="9:9" ht="15.75" customHeight="1">
      <c r="I720" s="3"/>
    </row>
    <row r="721" spans="9:9" ht="15.75" customHeight="1">
      <c r="I721" s="3"/>
    </row>
    <row r="722" spans="9:9" ht="15.75" customHeight="1">
      <c r="I722" s="3"/>
    </row>
    <row r="723" spans="9:9" ht="15.75" customHeight="1">
      <c r="I723" s="3"/>
    </row>
    <row r="724" spans="9:9" ht="15.75" customHeight="1">
      <c r="I724" s="3"/>
    </row>
    <row r="725" spans="9:9" ht="15.75" customHeight="1">
      <c r="I725" s="3"/>
    </row>
    <row r="726" spans="9:9" ht="15.75" customHeight="1">
      <c r="I726" s="3"/>
    </row>
    <row r="727" spans="9:9" ht="15.75" customHeight="1">
      <c r="I727" s="3"/>
    </row>
    <row r="728" spans="9:9" ht="15.75" customHeight="1">
      <c r="I728" s="3"/>
    </row>
    <row r="729" spans="9:9" ht="15.75" customHeight="1">
      <c r="I729" s="3"/>
    </row>
    <row r="730" spans="9:9" ht="15.75" customHeight="1">
      <c r="I730" s="3"/>
    </row>
    <row r="731" spans="9:9" ht="15.75" customHeight="1">
      <c r="I731" s="3"/>
    </row>
    <row r="732" spans="9:9" ht="15.75" customHeight="1">
      <c r="I732" s="3"/>
    </row>
    <row r="733" spans="9:9" ht="15.75" customHeight="1">
      <c r="I733" s="3"/>
    </row>
    <row r="734" spans="9:9" ht="15.75" customHeight="1">
      <c r="I734" s="3"/>
    </row>
    <row r="735" spans="9:9" ht="15.75" customHeight="1">
      <c r="I735" s="3"/>
    </row>
    <row r="736" spans="9:9" ht="15.75" customHeight="1">
      <c r="I736" s="3"/>
    </row>
    <row r="737" spans="9:9" ht="15.75" customHeight="1">
      <c r="I737" s="3"/>
    </row>
    <row r="738" spans="9:9" ht="15.75" customHeight="1">
      <c r="I738" s="3"/>
    </row>
    <row r="739" spans="9:9" ht="15.75" customHeight="1">
      <c r="I739" s="3"/>
    </row>
    <row r="740" spans="9:9" ht="15.75" customHeight="1">
      <c r="I740" s="3"/>
    </row>
    <row r="741" spans="9:9" ht="15.75" customHeight="1">
      <c r="I741" s="3"/>
    </row>
    <row r="742" spans="9:9" ht="15.75" customHeight="1">
      <c r="I742" s="3"/>
    </row>
    <row r="743" spans="9:9" ht="15.75" customHeight="1">
      <c r="I743" s="3"/>
    </row>
    <row r="744" spans="9:9" ht="15.75" customHeight="1">
      <c r="I744" s="3"/>
    </row>
    <row r="745" spans="9:9" ht="15.75" customHeight="1">
      <c r="I745" s="3"/>
    </row>
    <row r="746" spans="9:9" ht="15.75" customHeight="1">
      <c r="I746" s="3"/>
    </row>
    <row r="747" spans="9:9" ht="15.75" customHeight="1">
      <c r="I747" s="3"/>
    </row>
    <row r="748" spans="9:9" ht="15.75" customHeight="1">
      <c r="I748" s="3"/>
    </row>
    <row r="749" spans="9:9" ht="15.75" customHeight="1">
      <c r="I749" s="3"/>
    </row>
    <row r="750" spans="9:9" ht="15.75" customHeight="1">
      <c r="I750" s="3"/>
    </row>
    <row r="751" spans="9:9" ht="15.75" customHeight="1">
      <c r="I751" s="3"/>
    </row>
    <row r="752" spans="9:9" ht="15.75" customHeight="1">
      <c r="I752" s="3"/>
    </row>
    <row r="753" spans="9:9" ht="15.75" customHeight="1">
      <c r="I753" s="3"/>
    </row>
    <row r="754" spans="9:9" ht="15.75" customHeight="1">
      <c r="I754" s="3"/>
    </row>
    <row r="755" spans="9:9" ht="15.75" customHeight="1">
      <c r="I755" s="3"/>
    </row>
    <row r="756" spans="9:9" ht="15.75" customHeight="1">
      <c r="I756" s="3"/>
    </row>
    <row r="757" spans="9:9" ht="15.75" customHeight="1">
      <c r="I757" s="3"/>
    </row>
    <row r="758" spans="9:9" ht="15.75" customHeight="1">
      <c r="I758" s="3"/>
    </row>
    <row r="759" spans="9:9" ht="15.75" customHeight="1">
      <c r="I759" s="3"/>
    </row>
    <row r="760" spans="9:9" ht="15.75" customHeight="1">
      <c r="I760" s="3"/>
    </row>
    <row r="761" spans="9:9" ht="15.75" customHeight="1">
      <c r="I761" s="3"/>
    </row>
    <row r="762" spans="9:9" ht="15.75" customHeight="1">
      <c r="I762" s="3"/>
    </row>
    <row r="763" spans="9:9" ht="15.75" customHeight="1">
      <c r="I763" s="3"/>
    </row>
    <row r="764" spans="9:9" ht="15.75" customHeight="1">
      <c r="I764" s="3"/>
    </row>
    <row r="765" spans="9:9" ht="15.75" customHeight="1">
      <c r="I765" s="3"/>
    </row>
    <row r="766" spans="9:9" ht="15.75" customHeight="1">
      <c r="I766" s="3"/>
    </row>
    <row r="767" spans="9:9" ht="15.75" customHeight="1">
      <c r="I767" s="3"/>
    </row>
    <row r="768" spans="9:9" ht="15.75" customHeight="1">
      <c r="I768" s="3"/>
    </row>
    <row r="769" spans="9:9" ht="15.75" customHeight="1">
      <c r="I769" s="3"/>
    </row>
    <row r="770" spans="9:9" ht="15.75" customHeight="1">
      <c r="I770" s="3"/>
    </row>
    <row r="771" spans="9:9" ht="15.75" customHeight="1">
      <c r="I771" s="3"/>
    </row>
    <row r="772" spans="9:9" ht="15.75" customHeight="1">
      <c r="I772" s="3"/>
    </row>
    <row r="773" spans="9:9" ht="15.75" customHeight="1">
      <c r="I773" s="3"/>
    </row>
    <row r="774" spans="9:9" ht="15.75" customHeight="1">
      <c r="I774" s="3"/>
    </row>
    <row r="775" spans="9:9" ht="15.75" customHeight="1">
      <c r="I775" s="3"/>
    </row>
    <row r="776" spans="9:9" ht="15.75" customHeight="1">
      <c r="I776" s="3"/>
    </row>
    <row r="777" spans="9:9" ht="15.75" customHeight="1">
      <c r="I777" s="3"/>
    </row>
    <row r="778" spans="9:9" ht="15.75" customHeight="1">
      <c r="I778" s="3"/>
    </row>
    <row r="779" spans="9:9" ht="15.75" customHeight="1">
      <c r="I779" s="3"/>
    </row>
    <row r="780" spans="9:9" ht="15.75" customHeight="1">
      <c r="I780" s="3"/>
    </row>
    <row r="781" spans="9:9" ht="15.75" customHeight="1">
      <c r="I781" s="3"/>
    </row>
    <row r="782" spans="9:9" ht="15.75" customHeight="1">
      <c r="I782" s="3"/>
    </row>
    <row r="783" spans="9:9" ht="15.75" customHeight="1">
      <c r="I783" s="3"/>
    </row>
    <row r="784" spans="9:9" ht="15.75" customHeight="1">
      <c r="I784" s="3"/>
    </row>
    <row r="785" spans="9:9" ht="15.75" customHeight="1">
      <c r="I785" s="3"/>
    </row>
    <row r="786" spans="9:9" ht="15.75" customHeight="1">
      <c r="I786" s="3"/>
    </row>
    <row r="787" spans="9:9" ht="15.75" customHeight="1">
      <c r="I787" s="3"/>
    </row>
    <row r="788" spans="9:9" ht="15.75" customHeight="1">
      <c r="I788" s="3"/>
    </row>
    <row r="789" spans="9:9" ht="15.75" customHeight="1">
      <c r="I789" s="3"/>
    </row>
    <row r="790" spans="9:9" ht="15.75" customHeight="1">
      <c r="I790" s="3"/>
    </row>
    <row r="791" spans="9:9" ht="15.75" customHeight="1">
      <c r="I791" s="3"/>
    </row>
    <row r="792" spans="9:9" ht="15.75" customHeight="1">
      <c r="I792" s="3"/>
    </row>
    <row r="793" spans="9:9" ht="15.75" customHeight="1">
      <c r="I793" s="3"/>
    </row>
    <row r="794" spans="9:9" ht="15.75" customHeight="1">
      <c r="I794" s="3"/>
    </row>
    <row r="795" spans="9:9" ht="15.75" customHeight="1">
      <c r="I795" s="3"/>
    </row>
    <row r="796" spans="9:9" ht="15.75" customHeight="1">
      <c r="I796" s="3"/>
    </row>
    <row r="797" spans="9:9" ht="15.75" customHeight="1">
      <c r="I797" s="3"/>
    </row>
    <row r="798" spans="9:9" ht="15.75" customHeight="1">
      <c r="I798" s="3"/>
    </row>
    <row r="799" spans="9:9" ht="15.75" customHeight="1">
      <c r="I799" s="3"/>
    </row>
    <row r="800" spans="9:9" ht="15.75" customHeight="1">
      <c r="I800" s="3"/>
    </row>
    <row r="801" spans="9:9" ht="15.75" customHeight="1">
      <c r="I801" s="3"/>
    </row>
    <row r="802" spans="9:9" ht="15.75" customHeight="1">
      <c r="I802" s="3"/>
    </row>
    <row r="803" spans="9:9" ht="15.75" customHeight="1">
      <c r="I803" s="3"/>
    </row>
    <row r="804" spans="9:9" ht="15.75" customHeight="1">
      <c r="I804" s="3"/>
    </row>
    <row r="805" spans="9:9" ht="15.75" customHeight="1">
      <c r="I805" s="3"/>
    </row>
    <row r="806" spans="9:9" ht="15.75" customHeight="1">
      <c r="I806" s="3"/>
    </row>
    <row r="807" spans="9:9" ht="15.75" customHeight="1">
      <c r="I807" s="3"/>
    </row>
    <row r="808" spans="9:9" ht="15.75" customHeight="1">
      <c r="I808" s="3"/>
    </row>
    <row r="809" spans="9:9" ht="15.75" customHeight="1">
      <c r="I809" s="3"/>
    </row>
    <row r="810" spans="9:9" ht="15.75" customHeight="1">
      <c r="I810" s="3"/>
    </row>
    <row r="811" spans="9:9" ht="15.75" customHeight="1">
      <c r="I811" s="3"/>
    </row>
    <row r="812" spans="9:9" ht="15.75" customHeight="1">
      <c r="I812" s="3"/>
    </row>
    <row r="813" spans="9:9" ht="15.75" customHeight="1">
      <c r="I813" s="3"/>
    </row>
    <row r="814" spans="9:9" ht="15.75" customHeight="1">
      <c r="I814" s="3"/>
    </row>
    <row r="815" spans="9:9" ht="15.75" customHeight="1">
      <c r="I815" s="3"/>
    </row>
    <row r="816" spans="9:9" ht="15.75" customHeight="1">
      <c r="I816" s="3"/>
    </row>
    <row r="817" spans="9:9" ht="15.75" customHeight="1">
      <c r="I817" s="3"/>
    </row>
    <row r="818" spans="9:9" ht="15.75" customHeight="1">
      <c r="I818" s="3"/>
    </row>
    <row r="819" spans="9:9" ht="15.75" customHeight="1">
      <c r="I819" s="3"/>
    </row>
    <row r="820" spans="9:9" ht="15.75" customHeight="1">
      <c r="I820" s="3"/>
    </row>
    <row r="821" spans="9:9" ht="15.75" customHeight="1">
      <c r="I821" s="3"/>
    </row>
    <row r="822" spans="9:9" ht="15.75" customHeight="1">
      <c r="I822" s="3"/>
    </row>
    <row r="823" spans="9:9" ht="15.75" customHeight="1">
      <c r="I823" s="3"/>
    </row>
    <row r="824" spans="9:9" ht="15.75" customHeight="1">
      <c r="I824" s="3"/>
    </row>
    <row r="825" spans="9:9" ht="15.75" customHeight="1">
      <c r="I825" s="3"/>
    </row>
    <row r="826" spans="9:9" ht="15.75" customHeight="1">
      <c r="I826" s="3"/>
    </row>
    <row r="827" spans="9:9" ht="15.75" customHeight="1">
      <c r="I827" s="3"/>
    </row>
    <row r="828" spans="9:9" ht="15.75" customHeight="1">
      <c r="I828" s="3"/>
    </row>
    <row r="829" spans="9:9" ht="15.75" customHeight="1">
      <c r="I829" s="3"/>
    </row>
    <row r="830" spans="9:9" ht="15.75" customHeight="1">
      <c r="I830" s="3"/>
    </row>
    <row r="831" spans="9:9" ht="15.75" customHeight="1">
      <c r="I831" s="3"/>
    </row>
    <row r="832" spans="9:9" ht="15.75" customHeight="1">
      <c r="I832" s="3"/>
    </row>
    <row r="833" spans="9:9" ht="15.75" customHeight="1">
      <c r="I833" s="3"/>
    </row>
    <row r="834" spans="9:9" ht="15.75" customHeight="1">
      <c r="I834" s="3"/>
    </row>
    <row r="835" spans="9:9" ht="15.75" customHeight="1">
      <c r="I835" s="3"/>
    </row>
    <row r="836" spans="9:9" ht="15.75" customHeight="1">
      <c r="I836" s="3"/>
    </row>
    <row r="837" spans="9:9" ht="15.75" customHeight="1">
      <c r="I837" s="3"/>
    </row>
    <row r="838" spans="9:9" ht="15.75" customHeight="1">
      <c r="I838" s="3"/>
    </row>
    <row r="839" spans="9:9" ht="15.75" customHeight="1">
      <c r="I839" s="3"/>
    </row>
    <row r="840" spans="9:9" ht="15.75" customHeight="1">
      <c r="I840" s="3"/>
    </row>
    <row r="841" spans="9:9" ht="15.75" customHeight="1">
      <c r="I841" s="3"/>
    </row>
    <row r="842" spans="9:9" ht="15.75" customHeight="1">
      <c r="I842" s="3"/>
    </row>
    <row r="843" spans="9:9" ht="15.75" customHeight="1">
      <c r="I843" s="3"/>
    </row>
    <row r="844" spans="9:9" ht="15.75" customHeight="1">
      <c r="I844" s="3"/>
    </row>
    <row r="845" spans="9:9" ht="15.75" customHeight="1">
      <c r="I845" s="3"/>
    </row>
    <row r="846" spans="9:9" ht="15.75" customHeight="1">
      <c r="I846" s="3"/>
    </row>
    <row r="847" spans="9:9" ht="15.75" customHeight="1">
      <c r="I847" s="3"/>
    </row>
    <row r="848" spans="9:9" ht="15.75" customHeight="1">
      <c r="I848" s="3"/>
    </row>
    <row r="849" spans="9:9" ht="15.75" customHeight="1">
      <c r="I849" s="3"/>
    </row>
    <row r="850" spans="9:9" ht="15.75" customHeight="1">
      <c r="I850" s="3"/>
    </row>
    <row r="851" spans="9:9" ht="15.75" customHeight="1">
      <c r="I851" s="3"/>
    </row>
    <row r="852" spans="9:9" ht="15.75" customHeight="1">
      <c r="I852" s="3"/>
    </row>
    <row r="853" spans="9:9" ht="15.75" customHeight="1">
      <c r="I853" s="3"/>
    </row>
    <row r="854" spans="9:9" ht="15.75" customHeight="1">
      <c r="I854" s="3"/>
    </row>
    <row r="855" spans="9:9" ht="15.75" customHeight="1">
      <c r="I855" s="3"/>
    </row>
    <row r="856" spans="9:9" ht="15.75" customHeight="1">
      <c r="I856" s="3"/>
    </row>
    <row r="857" spans="9:9" ht="15.75" customHeight="1">
      <c r="I857" s="3"/>
    </row>
    <row r="858" spans="9:9" ht="15.75" customHeight="1">
      <c r="I858" s="3"/>
    </row>
    <row r="859" spans="9:9" ht="15.75" customHeight="1">
      <c r="I859" s="3"/>
    </row>
    <row r="860" spans="9:9" ht="15.75" customHeight="1">
      <c r="I860" s="3"/>
    </row>
    <row r="861" spans="9:9" ht="15.75" customHeight="1">
      <c r="I861" s="3"/>
    </row>
    <row r="862" spans="9:9" ht="15.75" customHeight="1">
      <c r="I862" s="3"/>
    </row>
    <row r="863" spans="9:9" ht="15.75" customHeight="1">
      <c r="I863" s="3"/>
    </row>
    <row r="864" spans="9:9" ht="15.75" customHeight="1">
      <c r="I864" s="3"/>
    </row>
    <row r="865" spans="9:9" ht="15.75" customHeight="1">
      <c r="I865" s="3"/>
    </row>
    <row r="866" spans="9:9" ht="15.75" customHeight="1">
      <c r="I866" s="3"/>
    </row>
    <row r="867" spans="9:9" ht="15.75" customHeight="1">
      <c r="I867" s="3"/>
    </row>
    <row r="868" spans="9:9" ht="15.75" customHeight="1">
      <c r="I868" s="3"/>
    </row>
    <row r="869" spans="9:9" ht="15.75" customHeight="1">
      <c r="I869" s="3"/>
    </row>
    <row r="870" spans="9:9" ht="15.75" customHeight="1">
      <c r="I870" s="3"/>
    </row>
    <row r="871" spans="9:9" ht="15.75" customHeight="1">
      <c r="I871" s="3"/>
    </row>
    <row r="872" spans="9:9" ht="15.75" customHeight="1">
      <c r="I872" s="3"/>
    </row>
    <row r="873" spans="9:9" ht="15.75" customHeight="1">
      <c r="I873" s="3"/>
    </row>
    <row r="874" spans="9:9" ht="15.75" customHeight="1">
      <c r="I874" s="3"/>
    </row>
    <row r="875" spans="9:9" ht="15.75" customHeight="1">
      <c r="I875" s="3"/>
    </row>
    <row r="876" spans="9:9" ht="15.75" customHeight="1">
      <c r="I876" s="3"/>
    </row>
    <row r="877" spans="9:9" ht="15.75" customHeight="1">
      <c r="I877" s="3"/>
    </row>
    <row r="878" spans="9:9" ht="15.75" customHeight="1">
      <c r="I878" s="3"/>
    </row>
    <row r="879" spans="9:9" ht="15.75" customHeight="1">
      <c r="I879" s="3"/>
    </row>
    <row r="880" spans="9:9" ht="15.75" customHeight="1">
      <c r="I880" s="3"/>
    </row>
    <row r="881" spans="9:9" ht="15.75" customHeight="1">
      <c r="I881" s="3"/>
    </row>
    <row r="882" spans="9:9" ht="15.75" customHeight="1">
      <c r="I882" s="3"/>
    </row>
    <row r="883" spans="9:9" ht="15.75" customHeight="1">
      <c r="I883" s="3"/>
    </row>
    <row r="884" spans="9:9" ht="15.75" customHeight="1">
      <c r="I884" s="3"/>
    </row>
    <row r="885" spans="9:9" ht="15.75" customHeight="1">
      <c r="I885" s="3"/>
    </row>
    <row r="886" spans="9:9" ht="15.75" customHeight="1">
      <c r="I886" s="3"/>
    </row>
    <row r="887" spans="9:9" ht="15.75" customHeight="1">
      <c r="I887" s="3"/>
    </row>
    <row r="888" spans="9:9" ht="15.75" customHeight="1">
      <c r="I888" s="3"/>
    </row>
    <row r="889" spans="9:9" ht="15.75" customHeight="1">
      <c r="I889" s="3"/>
    </row>
    <row r="890" spans="9:9" ht="15.75" customHeight="1">
      <c r="I890" s="3"/>
    </row>
    <row r="891" spans="9:9" ht="15.75" customHeight="1">
      <c r="I891" s="3"/>
    </row>
    <row r="892" spans="9:9" ht="15.75" customHeight="1">
      <c r="I892" s="3"/>
    </row>
    <row r="893" spans="9:9" ht="15.75" customHeight="1">
      <c r="I893" s="3"/>
    </row>
    <row r="894" spans="9:9" ht="15.75" customHeight="1">
      <c r="I894" s="3"/>
    </row>
    <row r="895" spans="9:9" ht="15.75" customHeight="1">
      <c r="I895" s="3"/>
    </row>
    <row r="896" spans="9:9" ht="15.75" customHeight="1">
      <c r="I896" s="3"/>
    </row>
    <row r="897" spans="9:9" ht="15.75" customHeight="1">
      <c r="I897" s="3"/>
    </row>
    <row r="898" spans="9:9" ht="15.75" customHeight="1">
      <c r="I898" s="3"/>
    </row>
    <row r="899" spans="9:9" ht="15.75" customHeight="1">
      <c r="I899" s="3"/>
    </row>
    <row r="900" spans="9:9" ht="15.75" customHeight="1">
      <c r="I900" s="3"/>
    </row>
    <row r="901" spans="9:9" ht="15.75" customHeight="1">
      <c r="I901" s="3"/>
    </row>
    <row r="902" spans="9:9" ht="15.75" customHeight="1">
      <c r="I902" s="3"/>
    </row>
    <row r="903" spans="9:9" ht="15.75" customHeight="1">
      <c r="I903" s="3"/>
    </row>
    <row r="904" spans="9:9" ht="15.75" customHeight="1">
      <c r="I904" s="3"/>
    </row>
    <row r="905" spans="9:9" ht="15.75" customHeight="1">
      <c r="I905" s="3"/>
    </row>
    <row r="906" spans="9:9" ht="15.75" customHeight="1">
      <c r="I906" s="3"/>
    </row>
    <row r="907" spans="9:9" ht="15.75" customHeight="1">
      <c r="I907" s="3"/>
    </row>
    <row r="908" spans="9:9" ht="15.75" customHeight="1">
      <c r="I908" s="3"/>
    </row>
    <row r="909" spans="9:9" ht="15.75" customHeight="1">
      <c r="I909" s="3"/>
    </row>
    <row r="910" spans="9:9" ht="15.75" customHeight="1">
      <c r="I910" s="3"/>
    </row>
    <row r="911" spans="9:9" ht="15.75" customHeight="1">
      <c r="I911" s="3"/>
    </row>
    <row r="912" spans="9:9" ht="15.75" customHeight="1">
      <c r="I912" s="3"/>
    </row>
    <row r="913" spans="9:9" ht="15.75" customHeight="1">
      <c r="I913" s="3"/>
    </row>
    <row r="914" spans="9:9" ht="15.75" customHeight="1">
      <c r="I914" s="3"/>
    </row>
    <row r="915" spans="9:9" ht="15.75" customHeight="1">
      <c r="I915" s="3"/>
    </row>
    <row r="916" spans="9:9" ht="15.75" customHeight="1">
      <c r="I916" s="3"/>
    </row>
    <row r="917" spans="9:9" ht="15.75" customHeight="1">
      <c r="I917" s="3"/>
    </row>
    <row r="918" spans="9:9" ht="15.75" customHeight="1">
      <c r="I918" s="3"/>
    </row>
    <row r="919" spans="9:9" ht="15.75" customHeight="1">
      <c r="I919" s="3"/>
    </row>
    <row r="920" spans="9:9" ht="15.75" customHeight="1">
      <c r="I920" s="3"/>
    </row>
    <row r="921" spans="9:9" ht="15.75" customHeight="1">
      <c r="I921" s="3"/>
    </row>
    <row r="922" spans="9:9" ht="15.75" customHeight="1">
      <c r="I922" s="3"/>
    </row>
    <row r="923" spans="9:9" ht="15.75" customHeight="1">
      <c r="I923" s="3"/>
    </row>
    <row r="924" spans="9:9" ht="15.75" customHeight="1">
      <c r="I924" s="3"/>
    </row>
    <row r="925" spans="9:9" ht="15.75" customHeight="1">
      <c r="I925" s="3"/>
    </row>
    <row r="926" spans="9:9" ht="15.75" customHeight="1">
      <c r="I926" s="3"/>
    </row>
    <row r="927" spans="9:9" ht="15.75" customHeight="1">
      <c r="I927" s="3"/>
    </row>
    <row r="928" spans="9:9" ht="15.75" customHeight="1">
      <c r="I928" s="3"/>
    </row>
    <row r="929" spans="9:9" ht="15.75" customHeight="1">
      <c r="I929" s="3"/>
    </row>
    <row r="930" spans="9:9" ht="15.75" customHeight="1">
      <c r="I930" s="3"/>
    </row>
    <row r="931" spans="9:9" ht="15.75" customHeight="1">
      <c r="I931" s="3"/>
    </row>
    <row r="932" spans="9:9" ht="15.75" customHeight="1">
      <c r="I932" s="3"/>
    </row>
    <row r="933" spans="9:9" ht="15.75" customHeight="1">
      <c r="I933" s="3"/>
    </row>
    <row r="934" spans="9:9" ht="15.75" customHeight="1">
      <c r="I934" s="3"/>
    </row>
    <row r="935" spans="9:9" ht="15.75" customHeight="1">
      <c r="I935" s="3"/>
    </row>
    <row r="936" spans="9:9" ht="15.75" customHeight="1">
      <c r="I936" s="3"/>
    </row>
    <row r="937" spans="9:9" ht="15.75" customHeight="1">
      <c r="I937" s="3"/>
    </row>
    <row r="938" spans="9:9" ht="15.75" customHeight="1">
      <c r="I938" s="3"/>
    </row>
    <row r="939" spans="9:9" ht="15.75" customHeight="1">
      <c r="I939" s="3"/>
    </row>
    <row r="940" spans="9:9" ht="15.75" customHeight="1">
      <c r="I940" s="3"/>
    </row>
    <row r="941" spans="9:9" ht="15.75" customHeight="1">
      <c r="I941" s="3"/>
    </row>
    <row r="942" spans="9:9" ht="15.75" customHeight="1">
      <c r="I942" s="3"/>
    </row>
    <row r="943" spans="9:9" ht="15.75" customHeight="1">
      <c r="I943" s="3"/>
    </row>
    <row r="944" spans="9:9" ht="15.75" customHeight="1">
      <c r="I944" s="3"/>
    </row>
    <row r="945" spans="9:9" ht="15.75" customHeight="1">
      <c r="I945" s="3"/>
    </row>
    <row r="946" spans="9:9" ht="15.75" customHeight="1">
      <c r="I946" s="3"/>
    </row>
    <row r="947" spans="9:9" ht="15.75" customHeight="1">
      <c r="I947" s="3"/>
    </row>
    <row r="948" spans="9:9" ht="15.75" customHeight="1">
      <c r="I948" s="3"/>
    </row>
    <row r="949" spans="9:9" ht="15.75" customHeight="1">
      <c r="I949" s="3"/>
    </row>
    <row r="950" spans="9:9" ht="15.75" customHeight="1">
      <c r="I950" s="3"/>
    </row>
    <row r="951" spans="9:9" ht="15.75" customHeight="1">
      <c r="I951" s="3"/>
    </row>
    <row r="952" spans="9:9" ht="15.75" customHeight="1">
      <c r="I952" s="3"/>
    </row>
    <row r="953" spans="9:9" ht="15.75" customHeight="1">
      <c r="I953" s="3"/>
    </row>
    <row r="954" spans="9:9" ht="15.75" customHeight="1">
      <c r="I954" s="3"/>
    </row>
    <row r="955" spans="9:9" ht="15.75" customHeight="1">
      <c r="I955" s="3"/>
    </row>
    <row r="956" spans="9:9" ht="15.75" customHeight="1">
      <c r="I956" s="3"/>
    </row>
    <row r="957" spans="9:9" ht="15.75" customHeight="1">
      <c r="I957" s="3"/>
    </row>
    <row r="958" spans="9:9" ht="15.75" customHeight="1">
      <c r="I958" s="3"/>
    </row>
    <row r="959" spans="9:9" ht="15.75" customHeight="1">
      <c r="I959" s="3"/>
    </row>
    <row r="960" spans="9:9" ht="15.75" customHeight="1">
      <c r="I960" s="3"/>
    </row>
    <row r="961" spans="9:9" ht="15.75" customHeight="1">
      <c r="I961" s="3"/>
    </row>
    <row r="962" spans="9:9" ht="15.75" customHeight="1">
      <c r="I962" s="3"/>
    </row>
    <row r="963" spans="9:9" ht="15.75" customHeight="1">
      <c r="I963" s="3"/>
    </row>
    <row r="964" spans="9:9" ht="15.75" customHeight="1">
      <c r="I964" s="3"/>
    </row>
    <row r="965" spans="9:9" ht="15.75" customHeight="1">
      <c r="I965" s="3"/>
    </row>
    <row r="966" spans="9:9" ht="15.75" customHeight="1">
      <c r="I966" s="3"/>
    </row>
    <row r="967" spans="9:9" ht="15.75" customHeight="1">
      <c r="I967" s="3"/>
    </row>
    <row r="968" spans="9:9" ht="15.75" customHeight="1">
      <c r="I968" s="3"/>
    </row>
    <row r="969" spans="9:9" ht="15.75" customHeight="1">
      <c r="I969" s="3"/>
    </row>
    <row r="970" spans="9:9" ht="15.75" customHeight="1">
      <c r="I970" s="3"/>
    </row>
  </sheetData>
  <sortState xmlns:xlrd2="http://schemas.microsoft.com/office/spreadsheetml/2017/richdata2" ref="A4:BA28">
    <sortCondition descending="1" ref="Z4:Z28"/>
  </sortState>
  <phoneticPr fontId="7" type="noConversion"/>
  <pageMargins left="0.7" right="0.7" top="0.75" bottom="0.75" header="0" footer="0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1747B-B9CD-400D-8016-6E2729BE4F62}">
  <dimension ref="A1:AZ62"/>
  <sheetViews>
    <sheetView topLeftCell="A9" workbookViewId="0">
      <selection activeCell="C27" sqref="C27"/>
    </sheetView>
  </sheetViews>
  <sheetFormatPr defaultRowHeight="15.75"/>
  <sheetData>
    <row r="1" spans="1:52">
      <c r="A1" s="1"/>
      <c r="B1" s="2"/>
      <c r="C1" s="2"/>
      <c r="D1" s="2"/>
      <c r="E1" s="2"/>
      <c r="F1" s="2"/>
      <c r="G1" s="2"/>
      <c r="H1" s="2"/>
      <c r="I1" s="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2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1"/>
      <c r="B2" s="1"/>
      <c r="C2" s="1"/>
      <c r="D2" s="2"/>
      <c r="E2" s="6"/>
      <c r="F2" s="1"/>
      <c r="G2" s="6"/>
      <c r="H2" s="22"/>
      <c r="I2" s="3"/>
      <c r="J2" s="1"/>
      <c r="K2" s="22"/>
      <c r="L2" s="1"/>
      <c r="M2" s="1"/>
      <c r="N2" s="2"/>
      <c r="O2" s="1"/>
      <c r="P2" s="1"/>
      <c r="Q2" s="2"/>
      <c r="R2" s="1"/>
      <c r="S2" s="1"/>
      <c r="T2" s="1"/>
      <c r="U2" s="2"/>
      <c r="V2" s="1"/>
      <c r="W2" s="2"/>
      <c r="X2" s="1"/>
      <c r="Y2" s="1"/>
      <c r="Z2" s="31"/>
      <c r="AA2" s="31"/>
      <c r="AB2" s="31"/>
      <c r="AC2" s="31"/>
      <c r="AD2" s="31"/>
      <c r="AE2" s="1"/>
      <c r="AF2" s="2"/>
      <c r="AG2" s="2"/>
      <c r="AH2" s="2"/>
      <c r="AI2" s="2"/>
      <c r="AJ2" s="2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>
      <c r="A3" s="1"/>
      <c r="B3" s="2"/>
      <c r="C3" s="2"/>
      <c r="D3" s="1"/>
      <c r="E3" s="6"/>
      <c r="F3" s="1"/>
      <c r="G3" s="6"/>
      <c r="H3" s="1"/>
      <c r="I3" s="3"/>
      <c r="J3" s="1"/>
      <c r="K3" s="1"/>
      <c r="L3" s="1"/>
      <c r="M3" s="1"/>
      <c r="N3" s="2"/>
      <c r="O3" s="1"/>
      <c r="P3" s="1"/>
      <c r="Q3" s="2"/>
      <c r="R3" s="1"/>
      <c r="S3" s="1"/>
      <c r="T3" s="1"/>
      <c r="U3" s="1"/>
      <c r="V3" s="1"/>
      <c r="W3" s="1"/>
      <c r="X3" s="1"/>
      <c r="Y3" s="1"/>
      <c r="Z3" s="23"/>
      <c r="AA3" s="23"/>
      <c r="AB3" s="23"/>
      <c r="AC3" s="23"/>
      <c r="AD3" s="23"/>
      <c r="AE3" s="1"/>
      <c r="AF3" s="1"/>
      <c r="AG3" s="1"/>
      <c r="AH3" s="2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1"/>
      <c r="B4" s="1"/>
      <c r="C4" s="2"/>
      <c r="D4" s="2"/>
      <c r="E4" s="6"/>
      <c r="F4" s="2"/>
      <c r="G4" s="6"/>
      <c r="H4" s="2"/>
      <c r="I4" s="3"/>
      <c r="J4" s="1"/>
      <c r="K4" s="1"/>
      <c r="L4" s="1"/>
      <c r="M4" s="1"/>
      <c r="N4" s="2"/>
      <c r="O4" s="1"/>
      <c r="P4" s="1"/>
      <c r="Q4" s="2"/>
      <c r="R4" s="1"/>
      <c r="S4" s="1"/>
      <c r="T4" s="1"/>
      <c r="U4" s="1"/>
      <c r="V4" s="1"/>
      <c r="W4" s="2"/>
      <c r="X4" s="1"/>
      <c r="Y4" s="1"/>
      <c r="Z4" s="31"/>
      <c r="AA4" s="31"/>
      <c r="AB4" s="31"/>
      <c r="AC4" s="31"/>
      <c r="AD4" s="31"/>
      <c r="AE4" s="2"/>
      <c r="AF4" s="2"/>
      <c r="AG4" s="2"/>
      <c r="AH4" s="2"/>
      <c r="AI4" s="2"/>
      <c r="AJ4" s="2"/>
      <c r="AK4" s="2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>
      <c r="A5" s="1"/>
      <c r="B5" s="2"/>
      <c r="C5" s="2"/>
      <c r="D5" s="1"/>
      <c r="E5" s="6"/>
      <c r="F5" s="1"/>
      <c r="G5" s="6"/>
      <c r="H5" s="1"/>
      <c r="I5" s="3"/>
      <c r="J5" s="1"/>
      <c r="K5" s="1"/>
      <c r="L5" s="1"/>
      <c r="M5" s="1"/>
      <c r="N5" s="2"/>
      <c r="O5" s="1"/>
      <c r="P5" s="1"/>
      <c r="Q5" s="2"/>
      <c r="R5" s="1"/>
      <c r="S5" s="1"/>
      <c r="T5" s="1"/>
      <c r="U5" s="1"/>
      <c r="V5" s="1"/>
      <c r="W5" s="1"/>
      <c r="X5" s="1"/>
      <c r="Y5" s="1"/>
      <c r="Z5" s="23"/>
      <c r="AA5" s="23"/>
      <c r="AB5" s="23"/>
      <c r="AC5" s="23"/>
      <c r="AD5" s="23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>
      <c r="A6" s="2"/>
      <c r="B6" s="2"/>
      <c r="C6" s="2"/>
      <c r="D6" s="1"/>
      <c r="E6" s="6"/>
      <c r="F6" s="1"/>
      <c r="G6" s="6"/>
      <c r="H6" s="1"/>
      <c r="I6" s="3"/>
      <c r="J6" s="1"/>
      <c r="K6" s="1"/>
      <c r="L6" s="1"/>
      <c r="M6" s="1"/>
      <c r="N6" s="2"/>
      <c r="O6" s="1"/>
      <c r="P6" s="1"/>
      <c r="Q6" s="2"/>
      <c r="R6" s="1"/>
      <c r="S6" s="1"/>
      <c r="T6" s="1"/>
      <c r="U6" s="1"/>
      <c r="V6" s="1"/>
      <c r="W6" s="1"/>
      <c r="X6" s="1"/>
      <c r="Y6" s="1"/>
      <c r="Z6" s="23"/>
      <c r="AA6" s="23"/>
      <c r="AB6" s="23"/>
      <c r="AC6" s="23"/>
      <c r="AD6" s="23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>
      <c r="A7" s="1"/>
      <c r="B7" s="1"/>
      <c r="C7" s="1"/>
      <c r="D7" s="2"/>
      <c r="E7" s="6"/>
      <c r="F7" s="1"/>
      <c r="G7" s="6"/>
      <c r="H7" s="1"/>
      <c r="I7" s="3"/>
      <c r="J7" s="1"/>
      <c r="K7" s="1"/>
      <c r="L7" s="1"/>
      <c r="M7" s="1"/>
      <c r="N7" s="2"/>
      <c r="O7" s="1"/>
      <c r="P7" s="1"/>
      <c r="Q7" s="2"/>
      <c r="R7" s="1"/>
      <c r="S7" s="1"/>
      <c r="T7" s="1"/>
      <c r="U7" s="1"/>
      <c r="V7" s="1"/>
      <c r="W7" s="2"/>
      <c r="X7" s="1"/>
      <c r="Y7" s="1"/>
      <c r="Z7" s="31"/>
      <c r="AA7" s="31"/>
      <c r="AB7" s="31"/>
      <c r="AC7" s="31"/>
      <c r="AD7" s="31"/>
      <c r="AE7" s="2"/>
      <c r="AF7" s="2"/>
      <c r="AG7" s="2"/>
      <c r="AH7" s="2"/>
      <c r="AI7" s="2"/>
      <c r="AJ7" s="2"/>
      <c r="AK7" s="1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</row>
    <row r="8" spans="1:52">
      <c r="A8" s="1"/>
      <c r="B8" s="1"/>
      <c r="C8" s="1"/>
      <c r="D8" s="2"/>
      <c r="E8" s="6"/>
      <c r="F8" s="1"/>
      <c r="G8" s="6"/>
      <c r="H8" s="1"/>
      <c r="I8" s="3"/>
      <c r="J8" s="1"/>
      <c r="K8" s="1"/>
      <c r="L8" s="1"/>
      <c r="M8" s="1"/>
      <c r="N8" s="2"/>
      <c r="O8" s="1"/>
      <c r="P8" s="1"/>
      <c r="Q8" s="2"/>
      <c r="R8" s="1"/>
      <c r="S8" s="1"/>
      <c r="T8" s="1"/>
      <c r="U8" s="1"/>
      <c r="V8" s="1"/>
      <c r="W8" s="2"/>
      <c r="X8" s="1"/>
      <c r="Y8" s="1"/>
      <c r="Z8" s="31"/>
      <c r="AA8" s="31"/>
      <c r="AB8" s="31"/>
      <c r="AC8" s="31"/>
      <c r="AD8" s="31"/>
      <c r="AE8" s="2"/>
      <c r="AF8" s="2"/>
      <c r="AG8" s="2"/>
      <c r="AH8" s="2"/>
      <c r="AI8" s="2"/>
      <c r="AJ8" s="2"/>
      <c r="AK8" s="1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</row>
    <row r="9" spans="1:52">
      <c r="A9" s="1"/>
      <c r="B9" s="1"/>
      <c r="C9" s="1"/>
      <c r="D9" s="2"/>
      <c r="E9" s="6"/>
      <c r="F9" s="1"/>
      <c r="G9" s="6"/>
      <c r="H9" s="22"/>
      <c r="I9" s="3"/>
      <c r="J9" s="1"/>
      <c r="K9" s="22"/>
      <c r="L9" s="1"/>
      <c r="M9" s="1"/>
      <c r="N9" s="2"/>
      <c r="O9" s="1"/>
      <c r="P9" s="1"/>
      <c r="Q9" s="2"/>
      <c r="R9" s="1"/>
      <c r="S9" s="1"/>
      <c r="T9" s="1"/>
      <c r="U9" s="2"/>
      <c r="V9" s="1"/>
      <c r="W9" s="34"/>
      <c r="X9" s="35"/>
      <c r="Y9" s="35"/>
      <c r="Z9" s="31"/>
      <c r="AA9" s="31"/>
      <c r="AB9" s="31"/>
      <c r="AC9" s="31"/>
      <c r="AD9" s="31"/>
      <c r="AE9" s="2"/>
      <c r="AF9" s="2"/>
      <c r="AG9" s="2"/>
      <c r="AH9" s="2"/>
      <c r="AI9" s="2"/>
      <c r="AJ9" s="2"/>
      <c r="AK9" s="1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</row>
    <row r="10" spans="1:52">
      <c r="A10" s="1"/>
      <c r="B10" s="1"/>
      <c r="C10" s="2"/>
      <c r="D10" s="2"/>
      <c r="E10" s="6"/>
      <c r="F10" s="2"/>
      <c r="G10" s="6"/>
      <c r="H10" s="2"/>
      <c r="I10" s="3"/>
      <c r="J10" s="1"/>
      <c r="K10" s="1"/>
      <c r="L10" s="1"/>
      <c r="M10" s="1"/>
      <c r="N10" s="2"/>
      <c r="O10" s="1"/>
      <c r="P10" s="1"/>
      <c r="Q10" s="2"/>
      <c r="R10" s="22"/>
      <c r="S10" s="1"/>
      <c r="T10" s="1"/>
      <c r="U10" s="1"/>
      <c r="V10" s="1"/>
      <c r="W10" s="35"/>
      <c r="X10" s="35"/>
      <c r="Y10" s="35"/>
      <c r="Z10" s="31"/>
      <c r="AA10" s="31"/>
      <c r="AB10" s="31"/>
      <c r="AC10" s="31"/>
      <c r="AD10" s="31"/>
      <c r="AE10" s="2"/>
      <c r="AF10" s="2"/>
      <c r="AG10" s="2"/>
      <c r="AH10" s="2"/>
      <c r="AI10" s="2"/>
      <c r="AJ10" s="2"/>
      <c r="AK10" s="2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>
      <c r="A11" s="1"/>
      <c r="B11" s="1"/>
      <c r="C11" s="1"/>
      <c r="D11" s="1"/>
      <c r="E11" s="6"/>
      <c r="F11" s="22"/>
      <c r="G11" s="36"/>
      <c r="H11" s="22"/>
      <c r="I11" s="21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1"/>
      <c r="X11" s="1"/>
      <c r="Y11" s="1"/>
      <c r="Z11" s="31"/>
      <c r="AA11" s="31"/>
      <c r="AB11" s="31"/>
      <c r="AC11" s="31"/>
      <c r="AD11" s="31"/>
      <c r="AE11" s="2"/>
      <c r="AF11" s="2"/>
      <c r="AG11" s="2"/>
      <c r="AH11" s="2"/>
      <c r="AI11" s="2"/>
      <c r="AJ11" s="2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>
      <c r="A12" s="1"/>
      <c r="B12" s="1"/>
      <c r="C12" s="1"/>
      <c r="D12" s="1"/>
      <c r="E12" s="6"/>
      <c r="F12" s="1"/>
      <c r="G12" s="6"/>
      <c r="H12" s="1"/>
      <c r="I12" s="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>
      <c r="A13" s="12"/>
      <c r="B13" s="12"/>
      <c r="C13" s="12"/>
      <c r="D13" s="15"/>
      <c r="E13" s="13"/>
      <c r="F13" s="12"/>
      <c r="G13" s="13"/>
      <c r="H13" s="12"/>
      <c r="I13" s="14"/>
      <c r="J13" s="12"/>
      <c r="K13" s="12"/>
      <c r="L13" s="12"/>
      <c r="M13" s="12"/>
      <c r="N13" s="15"/>
      <c r="O13" s="12"/>
      <c r="P13" s="12"/>
      <c r="Q13" s="15"/>
      <c r="R13" s="12"/>
      <c r="S13" s="12"/>
      <c r="T13" s="12"/>
      <c r="U13" s="12"/>
      <c r="V13" s="12"/>
      <c r="W13" s="15"/>
      <c r="X13" s="12"/>
      <c r="Y13" s="12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22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</row>
    <row r="14" spans="1:52">
      <c r="A14" s="1"/>
      <c r="B14" s="1"/>
      <c r="C14" s="1"/>
      <c r="D14" s="1"/>
      <c r="E14" s="6"/>
      <c r="F14" s="1"/>
      <c r="G14" s="6"/>
      <c r="H14" s="1"/>
      <c r="I14" s="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</row>
    <row r="15" spans="1:52">
      <c r="A15" s="1"/>
      <c r="B15" s="1"/>
      <c r="C15" s="1"/>
      <c r="D15" s="1"/>
      <c r="E15" s="6"/>
      <c r="F15" s="1"/>
      <c r="G15" s="6"/>
      <c r="H15" s="1"/>
      <c r="I15" s="3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>
      <c r="A16" s="1"/>
      <c r="B16" s="2"/>
      <c r="C16" s="2"/>
      <c r="D16" s="1"/>
      <c r="E16" s="6"/>
      <c r="F16" s="2"/>
      <c r="G16" s="6"/>
      <c r="H16" s="1"/>
      <c r="I16" s="3"/>
      <c r="J16" s="1"/>
      <c r="K16" s="1"/>
      <c r="L16" s="1"/>
      <c r="M16" s="1"/>
      <c r="N16" s="2"/>
      <c r="O16" s="1"/>
      <c r="P16" s="1"/>
      <c r="Q16" s="2"/>
      <c r="R16" s="1"/>
      <c r="S16" s="1"/>
      <c r="T16" s="1"/>
      <c r="U16" s="1"/>
      <c r="V16" s="1"/>
      <c r="W16" s="1"/>
      <c r="X16" s="1"/>
      <c r="Y16" s="1"/>
      <c r="Z16" s="23"/>
      <c r="AA16" s="23"/>
      <c r="AB16" s="23"/>
      <c r="AC16" s="23"/>
      <c r="AD16" s="23"/>
      <c r="AE16" s="1"/>
      <c r="AF16" s="1"/>
      <c r="AG16" s="1"/>
      <c r="AH16" s="2"/>
      <c r="AI16" s="1"/>
      <c r="AJ16" s="1"/>
      <c r="AK16" s="1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</row>
    <row r="17" spans="1:52">
      <c r="A17" s="1"/>
      <c r="B17" s="2"/>
      <c r="C17" s="2"/>
      <c r="D17" s="2"/>
      <c r="E17" s="4"/>
      <c r="F17" s="2"/>
      <c r="G17" s="4"/>
      <c r="H17" s="2"/>
      <c r="I17" s="3"/>
      <c r="J17" s="2"/>
      <c r="K17" s="2"/>
      <c r="L17" s="2"/>
      <c r="M17" s="2"/>
      <c r="N17" s="2"/>
      <c r="O17" s="2"/>
      <c r="P17" s="2"/>
      <c r="Q17" s="2"/>
      <c r="R17" s="2"/>
      <c r="S17" s="1"/>
      <c r="T17" s="2"/>
      <c r="U17" s="2"/>
      <c r="V17" s="2"/>
      <c r="W17" s="1"/>
      <c r="X17" s="1"/>
      <c r="Y17" s="1"/>
      <c r="Z17" s="23"/>
      <c r="AA17" s="23"/>
      <c r="AB17" s="23"/>
      <c r="AC17" s="23"/>
      <c r="AD17" s="23"/>
      <c r="AE17" s="1"/>
      <c r="AF17" s="1"/>
      <c r="AG17" s="1"/>
      <c r="AH17" s="2"/>
      <c r="AI17" s="1"/>
      <c r="AJ17" s="1"/>
      <c r="AK17" s="1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</row>
    <row r="18" spans="1:52">
      <c r="A18" s="1"/>
      <c r="B18" s="2"/>
      <c r="C18" s="2"/>
      <c r="D18" s="2"/>
      <c r="E18" s="4"/>
      <c r="F18" s="2"/>
      <c r="G18" s="4"/>
      <c r="H18" s="2"/>
      <c r="I18" s="3"/>
      <c r="J18" s="2"/>
      <c r="K18" s="2"/>
      <c r="L18" s="2"/>
      <c r="M18" s="2"/>
      <c r="N18" s="2"/>
      <c r="O18" s="2"/>
      <c r="P18" s="2"/>
      <c r="Q18" s="2"/>
      <c r="R18" s="2"/>
      <c r="S18" s="1"/>
      <c r="T18" s="2"/>
      <c r="U18" s="2"/>
      <c r="V18" s="2"/>
      <c r="W18" s="1"/>
      <c r="X18" s="1"/>
      <c r="Y18" s="1"/>
      <c r="Z18" s="23"/>
      <c r="AA18" s="23"/>
      <c r="AB18" s="23"/>
      <c r="AC18" s="23"/>
      <c r="AD18" s="23"/>
      <c r="AE18" s="1"/>
      <c r="AF18" s="2"/>
      <c r="AG18" s="2"/>
      <c r="AH18" s="2"/>
      <c r="AI18" s="2"/>
      <c r="AJ18" s="2"/>
      <c r="AK18" s="1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</row>
    <row r="19" spans="1:52">
      <c r="A19" s="1"/>
      <c r="B19" s="1"/>
      <c r="C19" s="2"/>
      <c r="D19" s="1"/>
      <c r="E19" s="6"/>
      <c r="F19" s="6"/>
      <c r="G19" s="6"/>
      <c r="H19" s="1"/>
      <c r="I19" s="3"/>
      <c r="J19" s="1"/>
      <c r="K19" s="1"/>
      <c r="L19" s="1"/>
      <c r="M19" s="1"/>
      <c r="N19" s="2"/>
      <c r="O19" s="1"/>
      <c r="P19" s="1"/>
      <c r="Q19" s="2"/>
      <c r="R19" s="1"/>
      <c r="S19" s="1"/>
      <c r="T19" s="1"/>
      <c r="U19" s="1"/>
      <c r="V19" s="1"/>
      <c r="W19" s="1"/>
      <c r="X19" s="1"/>
      <c r="Y19" s="1"/>
      <c r="Z19" s="23"/>
      <c r="AA19" s="23"/>
      <c r="AB19" s="23"/>
      <c r="AC19" s="23"/>
      <c r="AD19" s="23"/>
      <c r="AE19" s="1"/>
      <c r="AF19" s="1"/>
      <c r="AG19" s="1"/>
      <c r="AH19" s="2"/>
      <c r="AI19" s="1"/>
      <c r="AJ19" s="1"/>
      <c r="AK19" s="1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</row>
    <row r="20" spans="1:52">
      <c r="A20" s="1"/>
      <c r="B20" s="2"/>
      <c r="C20" s="2"/>
      <c r="D20" s="1"/>
      <c r="E20" s="6"/>
      <c r="F20" s="2"/>
      <c r="G20" s="6"/>
      <c r="H20" s="1"/>
      <c r="I20" s="3"/>
      <c r="J20" s="1"/>
      <c r="K20" s="1"/>
      <c r="L20" s="1"/>
      <c r="M20" s="1"/>
      <c r="N20" s="2"/>
      <c r="O20" s="1"/>
      <c r="P20" s="1"/>
      <c r="Q20" s="2"/>
      <c r="R20" s="1"/>
      <c r="S20" s="1"/>
      <c r="T20" s="1"/>
      <c r="U20" s="1"/>
      <c r="V20" s="1"/>
      <c r="W20" s="1"/>
      <c r="X20" s="1"/>
      <c r="Y20" s="1"/>
      <c r="Z20" s="23"/>
      <c r="AA20" s="23"/>
      <c r="AB20" s="23"/>
      <c r="AC20" s="23"/>
      <c r="AD20" s="23"/>
      <c r="AE20" s="1"/>
      <c r="AF20" s="1"/>
      <c r="AG20" s="1"/>
      <c r="AH20" s="2"/>
      <c r="AI20" s="1"/>
      <c r="AJ20" s="1"/>
      <c r="AK20" s="1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</row>
    <row r="21" spans="1:52">
      <c r="A21" s="1"/>
      <c r="B21" s="2"/>
      <c r="C21" s="2"/>
      <c r="D21" s="2"/>
      <c r="E21" s="4"/>
      <c r="F21" s="2"/>
      <c r="G21" s="4"/>
      <c r="H21" s="2"/>
      <c r="I21" s="3"/>
      <c r="J21" s="2"/>
      <c r="K21" s="2"/>
      <c r="L21" s="2"/>
      <c r="M21" s="2"/>
      <c r="N21" s="2"/>
      <c r="O21" s="2"/>
      <c r="P21" s="2"/>
      <c r="Q21" s="2"/>
      <c r="R21" s="2"/>
      <c r="S21" s="1"/>
      <c r="T21" s="2"/>
      <c r="U21" s="2"/>
      <c r="V21" s="2"/>
      <c r="W21" s="1"/>
      <c r="X21" s="1"/>
      <c r="Y21" s="1"/>
      <c r="Z21" s="23"/>
      <c r="AA21" s="23"/>
      <c r="AB21" s="23"/>
      <c r="AC21" s="23"/>
      <c r="AD21" s="23"/>
      <c r="AE21" s="1"/>
      <c r="AF21" s="1"/>
      <c r="AG21" s="1"/>
      <c r="AH21" s="1"/>
      <c r="AI21" s="1"/>
      <c r="AJ21" s="1"/>
      <c r="AK21" s="1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</row>
    <row r="22" spans="1:52">
      <c r="A22" s="1"/>
      <c r="B22" s="2"/>
      <c r="C22" s="2"/>
      <c r="D22" s="2"/>
      <c r="E22" s="4"/>
      <c r="F22" s="2"/>
      <c r="G22" s="4"/>
      <c r="H22" s="2"/>
      <c r="I22" s="3"/>
      <c r="J22" s="2"/>
      <c r="K22" s="2"/>
      <c r="L22" s="2"/>
      <c r="M22" s="2"/>
      <c r="N22" s="2"/>
      <c r="O22" s="2"/>
      <c r="P22" s="2"/>
      <c r="Q22" s="2"/>
      <c r="R22" s="2"/>
      <c r="S22" s="1"/>
      <c r="T22" s="2"/>
      <c r="U22" s="2"/>
      <c r="V22" s="2"/>
      <c r="W22" s="1"/>
      <c r="X22" s="1"/>
      <c r="Y22" s="1"/>
      <c r="Z22" s="23"/>
      <c r="AA22" s="23"/>
      <c r="AB22" s="23"/>
      <c r="AC22" s="23"/>
      <c r="AD22" s="23"/>
      <c r="AE22" s="1"/>
      <c r="AF22" s="1"/>
      <c r="AG22" s="1"/>
      <c r="AH22" s="1"/>
      <c r="AI22" s="1"/>
      <c r="AJ22" s="1"/>
      <c r="AK22" s="1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</row>
    <row r="23" spans="1:52">
      <c r="A23" s="1"/>
      <c r="B23" s="1"/>
      <c r="C23" s="2"/>
      <c r="D23" s="1"/>
      <c r="E23" s="6"/>
      <c r="F23" s="2"/>
      <c r="G23" s="6"/>
      <c r="H23" s="1"/>
      <c r="I23" s="3"/>
      <c r="J23" s="1"/>
      <c r="K23" s="1"/>
      <c r="L23" s="1"/>
      <c r="M23" s="1"/>
      <c r="N23" s="2"/>
      <c r="O23" s="1"/>
      <c r="P23" s="1"/>
      <c r="Q23" s="2"/>
      <c r="R23" s="1"/>
      <c r="S23" s="1"/>
      <c r="T23" s="1"/>
      <c r="U23" s="1"/>
      <c r="V23" s="1"/>
      <c r="W23" s="1"/>
      <c r="X23" s="1"/>
      <c r="Y23" s="1"/>
      <c r="Z23" s="23"/>
      <c r="AA23" s="23"/>
      <c r="AB23" s="23"/>
      <c r="AC23" s="23"/>
      <c r="AD23" s="23"/>
      <c r="AE23" s="1"/>
      <c r="AF23" s="1"/>
      <c r="AG23" s="1"/>
      <c r="AH23" s="1"/>
      <c r="AI23" s="1"/>
      <c r="AJ23" s="1"/>
      <c r="AK23" s="1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</row>
    <row r="24" spans="1:52">
      <c r="A24" s="1"/>
      <c r="B24" s="1"/>
      <c r="C24" s="2"/>
      <c r="D24" s="1"/>
      <c r="E24" s="6"/>
      <c r="F24" s="1"/>
      <c r="G24" s="6"/>
      <c r="H24" s="1"/>
      <c r="I24" s="3"/>
      <c r="J24" s="1"/>
      <c r="K24" s="1"/>
      <c r="L24" s="1"/>
      <c r="M24" s="1"/>
      <c r="N24" s="2"/>
      <c r="O24" s="1"/>
      <c r="P24" s="1"/>
      <c r="Q24" s="2"/>
      <c r="R24" s="1"/>
      <c r="S24" s="1"/>
      <c r="T24" s="1"/>
      <c r="U24" s="1"/>
      <c r="V24" s="1"/>
      <c r="W24" s="1"/>
      <c r="X24" s="1"/>
      <c r="Y24" s="1"/>
      <c r="Z24" s="23"/>
      <c r="AA24" s="23"/>
      <c r="AB24" s="23"/>
      <c r="AC24" s="23"/>
      <c r="AD24" s="23"/>
      <c r="AE24" s="1"/>
      <c r="AF24" s="1"/>
      <c r="AG24" s="1"/>
      <c r="AH24" s="1"/>
      <c r="AI24" s="1"/>
      <c r="AJ24" s="1"/>
      <c r="AK24" s="1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</row>
    <row r="25" spans="1:52">
      <c r="A25" s="1"/>
      <c r="B25" s="1"/>
      <c r="C25" s="2"/>
      <c r="D25" s="1"/>
      <c r="E25" s="6"/>
      <c r="F25" s="1"/>
      <c r="G25" s="6"/>
      <c r="H25" s="1"/>
      <c r="I25" s="3"/>
      <c r="J25" s="1"/>
      <c r="K25" s="1"/>
      <c r="L25" s="1"/>
      <c r="M25" s="1"/>
      <c r="N25" s="2"/>
      <c r="O25" s="1"/>
      <c r="P25" s="1"/>
      <c r="Q25" s="2"/>
      <c r="R25" s="1"/>
      <c r="S25" s="1"/>
      <c r="T25" s="1"/>
      <c r="U25" s="1"/>
      <c r="V25" s="1"/>
      <c r="W25" s="1"/>
      <c r="X25" s="1"/>
      <c r="Y25" s="1"/>
      <c r="Z25" s="23"/>
      <c r="AA25" s="23"/>
      <c r="AB25" s="23"/>
      <c r="AC25" s="23"/>
      <c r="AD25" s="23"/>
      <c r="AE25" s="1"/>
      <c r="AF25" s="1"/>
      <c r="AG25" s="1"/>
      <c r="AH25" s="1"/>
      <c r="AI25" s="1"/>
      <c r="AJ25" s="1"/>
      <c r="AK25" s="1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</row>
    <row r="26" spans="1:52">
      <c r="A26" s="1"/>
      <c r="B26" s="1"/>
      <c r="C26" s="2"/>
      <c r="D26" s="1"/>
      <c r="E26" s="6"/>
      <c r="F26" s="1"/>
      <c r="G26" s="6"/>
      <c r="H26" s="1"/>
      <c r="I26" s="3"/>
      <c r="J26" s="1"/>
      <c r="K26" s="1"/>
      <c r="L26" s="1"/>
      <c r="M26" s="1"/>
      <c r="N26" s="2"/>
      <c r="O26" s="1"/>
      <c r="P26" s="1"/>
      <c r="Q26" s="2"/>
      <c r="R26" s="1"/>
      <c r="S26" s="1"/>
      <c r="T26" s="1"/>
      <c r="U26" s="1"/>
      <c r="V26" s="1"/>
      <c r="W26" s="1"/>
      <c r="X26" s="1"/>
      <c r="Y26" s="1"/>
      <c r="Z26" s="23"/>
      <c r="AA26" s="23"/>
      <c r="AB26" s="23"/>
      <c r="AC26" s="23"/>
      <c r="AD26" s="23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>
      <c r="A27" s="1"/>
      <c r="B27" s="1"/>
      <c r="C27" s="2"/>
      <c r="D27" s="2"/>
      <c r="E27" s="6"/>
      <c r="F27" s="2"/>
      <c r="G27" s="6"/>
      <c r="H27" s="18"/>
      <c r="I27" s="3"/>
      <c r="J27" s="1"/>
      <c r="K27" s="1"/>
      <c r="L27" s="1"/>
      <c r="M27" s="1"/>
      <c r="N27" s="2"/>
      <c r="O27" s="1"/>
      <c r="P27" s="1"/>
      <c r="Q27" s="2"/>
      <c r="R27" s="22"/>
      <c r="S27" s="1"/>
      <c r="T27" s="1"/>
      <c r="U27" s="1"/>
      <c r="V27" s="1"/>
      <c r="W27" s="35"/>
      <c r="X27" s="35"/>
      <c r="Y27" s="35"/>
      <c r="Z27" s="31"/>
      <c r="AA27" s="31"/>
      <c r="AB27" s="31"/>
      <c r="AC27" s="31"/>
      <c r="AD27" s="31"/>
      <c r="AE27" s="2"/>
      <c r="AF27" s="2"/>
      <c r="AG27" s="2"/>
      <c r="AH27" s="2"/>
      <c r="AI27" s="2"/>
      <c r="AJ27" s="2"/>
      <c r="AK27" s="2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>
      <c r="A28" s="1"/>
      <c r="B28" s="2"/>
      <c r="C28" s="2"/>
      <c r="D28" s="2"/>
      <c r="E28" s="6"/>
      <c r="F28" s="2"/>
      <c r="G28" s="6"/>
      <c r="H28" s="1"/>
      <c r="I28" s="3"/>
      <c r="J28" s="1"/>
      <c r="K28" s="1"/>
      <c r="L28" s="1"/>
      <c r="M28" s="1"/>
      <c r="N28" s="2"/>
      <c r="O28" s="1"/>
      <c r="P28" s="1"/>
      <c r="Q28" s="2"/>
      <c r="R28" s="1"/>
      <c r="S28" s="1"/>
      <c r="T28" s="1"/>
      <c r="U28" s="1"/>
      <c r="V28" s="1"/>
      <c r="W28" s="1"/>
      <c r="X28" s="1"/>
      <c r="Y28" s="1"/>
      <c r="Z28" s="23"/>
      <c r="AA28" s="23"/>
      <c r="AB28" s="23"/>
      <c r="AC28" s="23"/>
      <c r="AD28" s="1"/>
      <c r="AE28" s="1"/>
      <c r="AF28" s="1"/>
      <c r="AG28" s="1"/>
      <c r="AH28" s="1"/>
      <c r="AI28" s="1"/>
      <c r="AJ28" s="1"/>
      <c r="AK28" s="1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</row>
    <row r="29" spans="1:52">
      <c r="A29" s="1"/>
      <c r="B29" s="1"/>
      <c r="C29" s="2"/>
      <c r="D29" s="1"/>
      <c r="E29" s="6"/>
      <c r="F29" s="2"/>
      <c r="G29" s="6"/>
      <c r="H29" s="1"/>
      <c r="I29" s="3"/>
      <c r="J29" s="1"/>
      <c r="K29" s="1"/>
      <c r="L29" s="1"/>
      <c r="M29" s="1"/>
      <c r="N29" s="2"/>
      <c r="O29" s="1"/>
      <c r="P29" s="1"/>
      <c r="Q29" s="2"/>
      <c r="R29" s="1"/>
      <c r="S29" s="1"/>
      <c r="T29" s="1"/>
      <c r="U29" s="1"/>
      <c r="V29" s="1"/>
      <c r="W29" s="1"/>
      <c r="X29" s="1"/>
      <c r="Y29" s="1"/>
      <c r="Z29" s="23"/>
      <c r="AA29" s="23"/>
      <c r="AB29" s="23"/>
      <c r="AC29" s="23"/>
      <c r="AD29" s="1"/>
      <c r="AE29" s="1"/>
      <c r="AF29" s="1"/>
      <c r="AG29" s="1"/>
      <c r="AH29" s="1"/>
      <c r="AI29" s="1"/>
      <c r="AJ29" s="1"/>
      <c r="AK29" s="1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</row>
    <row r="30" spans="1:52">
      <c r="A30" s="1"/>
      <c r="B30" s="1"/>
      <c r="C30" s="2"/>
      <c r="D30" s="1"/>
      <c r="E30" s="6"/>
      <c r="F30" s="2"/>
      <c r="G30" s="6"/>
      <c r="H30" s="1"/>
      <c r="I30" s="3"/>
      <c r="J30" s="1"/>
      <c r="K30" s="1"/>
      <c r="L30" s="1"/>
      <c r="M30" s="1"/>
      <c r="N30" s="2"/>
      <c r="O30" s="1"/>
      <c r="P30" s="1"/>
      <c r="Q30" s="2"/>
      <c r="R30" s="1"/>
      <c r="S30" s="1"/>
      <c r="T30" s="1"/>
      <c r="U30" s="1"/>
      <c r="V30" s="1"/>
      <c r="W30" s="1"/>
      <c r="X30" s="1"/>
      <c r="Y30" s="1"/>
      <c r="Z30" s="23"/>
      <c r="AA30" s="23"/>
      <c r="AB30" s="23"/>
      <c r="AC30" s="23"/>
      <c r="AD30" s="1"/>
      <c r="AE30" s="1"/>
      <c r="AF30" s="1"/>
      <c r="AG30" s="1"/>
      <c r="AH30" s="1"/>
      <c r="AI30" s="1"/>
      <c r="AJ30" s="1"/>
      <c r="AK30" s="1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</row>
    <row r="31" spans="1:52">
      <c r="A31" s="1"/>
      <c r="B31" s="1"/>
      <c r="C31" s="2"/>
      <c r="D31" s="1"/>
      <c r="E31" s="6"/>
      <c r="F31" s="2"/>
      <c r="G31" s="6"/>
      <c r="H31" s="1"/>
      <c r="I31" s="3"/>
      <c r="J31" s="1"/>
      <c r="K31" s="1"/>
      <c r="L31" s="1"/>
      <c r="M31" s="1"/>
      <c r="N31" s="2"/>
      <c r="O31" s="1"/>
      <c r="P31" s="1"/>
      <c r="Q31" s="2"/>
      <c r="R31" s="1"/>
      <c r="S31" s="1"/>
      <c r="T31" s="1"/>
      <c r="U31" s="1"/>
      <c r="V31" s="1"/>
      <c r="W31" s="1"/>
      <c r="X31" s="1"/>
      <c r="Y31" s="1"/>
      <c r="Z31" s="23"/>
      <c r="AA31" s="23"/>
      <c r="AB31" s="23"/>
      <c r="AC31" s="23"/>
      <c r="AD31" s="1"/>
      <c r="AE31" s="1"/>
      <c r="AF31" s="1"/>
      <c r="AG31" s="1"/>
      <c r="AH31" s="1"/>
      <c r="AI31" s="1"/>
      <c r="AJ31" s="1"/>
      <c r="AK31" s="1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</row>
    <row r="32" spans="1:52">
      <c r="A32" s="1"/>
      <c r="B32" s="1"/>
      <c r="C32" s="2"/>
      <c r="D32" s="1"/>
      <c r="E32" s="6"/>
      <c r="F32" s="1"/>
      <c r="G32" s="6"/>
      <c r="H32" s="1"/>
      <c r="I32" s="3"/>
      <c r="J32" s="1"/>
      <c r="K32" s="1"/>
      <c r="L32" s="1"/>
      <c r="M32" s="1"/>
      <c r="N32" s="2"/>
      <c r="O32" s="1"/>
      <c r="P32" s="1"/>
      <c r="Q32" s="2"/>
      <c r="R32" s="1"/>
      <c r="S32" s="1"/>
      <c r="T32" s="1"/>
      <c r="U32" s="1"/>
      <c r="V32" s="1"/>
      <c r="W32" s="1"/>
      <c r="X32" s="1"/>
      <c r="Y32" s="1"/>
      <c r="Z32" s="23"/>
      <c r="AA32" s="23"/>
      <c r="AB32" s="23"/>
      <c r="AC32" s="23"/>
      <c r="AD32" s="1"/>
      <c r="AE32" s="1"/>
      <c r="AF32" s="1"/>
      <c r="AG32" s="1"/>
      <c r="AH32" s="1"/>
      <c r="AI32" s="1"/>
      <c r="AJ32" s="1"/>
      <c r="AK32" s="1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</row>
    <row r="33" spans="1:52">
      <c r="A33" s="1"/>
      <c r="B33" s="2"/>
      <c r="C33" s="2"/>
      <c r="D33" s="1"/>
      <c r="E33" s="6"/>
      <c r="F33" s="1"/>
      <c r="G33" s="6"/>
      <c r="H33" s="1"/>
      <c r="I33" s="3"/>
      <c r="J33" s="1"/>
      <c r="K33" s="1"/>
      <c r="L33" s="1"/>
      <c r="M33" s="1"/>
      <c r="N33" s="2"/>
      <c r="O33" s="1"/>
      <c r="P33" s="1"/>
      <c r="Q33" s="2"/>
      <c r="R33" s="1"/>
      <c r="S33" s="1"/>
      <c r="T33" s="1"/>
      <c r="U33" s="1"/>
      <c r="V33" s="1"/>
      <c r="W33" s="1"/>
      <c r="X33" s="1"/>
      <c r="Y33" s="1"/>
      <c r="Z33" s="23"/>
      <c r="AA33" s="23"/>
      <c r="AB33" s="23"/>
      <c r="AC33" s="23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>
      <c r="A34" s="1"/>
      <c r="B34" s="2"/>
      <c r="C34" s="2"/>
      <c r="D34" s="1"/>
      <c r="E34" s="6"/>
      <c r="F34" s="1"/>
      <c r="G34" s="6"/>
      <c r="H34" s="1"/>
      <c r="I34" s="3"/>
      <c r="J34" s="1"/>
      <c r="K34" s="1"/>
      <c r="L34" s="1"/>
      <c r="M34" s="1"/>
      <c r="N34" s="2"/>
      <c r="O34" s="1"/>
      <c r="P34" s="1"/>
      <c r="Q34" s="2"/>
      <c r="R34" s="1"/>
      <c r="S34" s="1"/>
      <c r="T34" s="1"/>
      <c r="U34" s="1"/>
      <c r="V34" s="1"/>
      <c r="W34" s="1"/>
      <c r="X34" s="1"/>
      <c r="Y34" s="1"/>
      <c r="Z34" s="23"/>
      <c r="AA34" s="23"/>
      <c r="AB34" s="23"/>
      <c r="AC34" s="23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>
      <c r="A35" s="1"/>
      <c r="B35" s="1"/>
      <c r="C35" s="2"/>
      <c r="D35" s="1"/>
      <c r="E35" s="6"/>
      <c r="F35" s="2"/>
      <c r="G35" s="30"/>
      <c r="H35" s="20"/>
      <c r="I35" s="21"/>
      <c r="J35" s="22"/>
      <c r="K35" s="22"/>
      <c r="L35" s="22"/>
      <c r="M35" s="22"/>
      <c r="N35" s="2"/>
      <c r="O35" s="22"/>
      <c r="P35" s="22"/>
      <c r="Q35" s="2"/>
      <c r="R35" s="22"/>
      <c r="S35" s="1"/>
      <c r="T35" s="22"/>
      <c r="U35" s="22"/>
      <c r="V35" s="1"/>
      <c r="W35" s="1"/>
      <c r="X35" s="1"/>
      <c r="Y35" s="1"/>
      <c r="Z35" s="23"/>
      <c r="AA35" s="23"/>
      <c r="AB35" s="23"/>
      <c r="AC35" s="23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>
      <c r="A36" s="1"/>
      <c r="B36" s="1"/>
      <c r="C36" s="2"/>
      <c r="D36" s="1"/>
      <c r="E36" s="6"/>
      <c r="F36" s="1"/>
      <c r="G36" s="6"/>
      <c r="H36" s="1"/>
      <c r="I36" s="3"/>
      <c r="J36" s="1"/>
      <c r="K36" s="1"/>
      <c r="L36" s="1"/>
      <c r="M36" s="1"/>
      <c r="N36" s="2"/>
      <c r="O36" s="1"/>
      <c r="P36" s="1"/>
      <c r="Q36" s="2"/>
      <c r="R36" s="1"/>
      <c r="S36" s="1"/>
      <c r="T36" s="1"/>
      <c r="U36" s="1"/>
      <c r="V36" s="1"/>
      <c r="W36" s="1"/>
      <c r="X36" s="1"/>
      <c r="Y36" s="1"/>
      <c r="Z36" s="23"/>
      <c r="AA36" s="23"/>
      <c r="AB36" s="23"/>
      <c r="AC36" s="23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>
      <c r="A37" s="1"/>
      <c r="B37" s="1"/>
      <c r="C37" s="2"/>
      <c r="D37" s="2"/>
      <c r="E37" s="6"/>
      <c r="F37" s="2"/>
      <c r="G37" s="6"/>
      <c r="H37" s="2"/>
      <c r="I37" s="3"/>
      <c r="J37" s="1"/>
      <c r="K37" s="1"/>
      <c r="L37" s="1"/>
      <c r="M37" s="1"/>
      <c r="N37" s="2"/>
      <c r="O37" s="1"/>
      <c r="P37" s="1"/>
      <c r="Q37" s="2"/>
      <c r="R37" s="1"/>
      <c r="S37" s="1"/>
      <c r="T37" s="1"/>
      <c r="U37" s="1"/>
      <c r="V37" s="1"/>
      <c r="W37" s="2"/>
      <c r="X37" s="1"/>
      <c r="Y37" s="1"/>
      <c r="Z37" s="31"/>
      <c r="AA37" s="31"/>
      <c r="AB37" s="31"/>
      <c r="AC37" s="31"/>
      <c r="AD37" s="31"/>
      <c r="AE37" s="2"/>
      <c r="AF37" s="2"/>
      <c r="AG37" s="2"/>
      <c r="AH37" s="2"/>
      <c r="AI37" s="2"/>
      <c r="AJ37" s="2"/>
      <c r="AK37" s="2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>
      <c r="A38" s="1"/>
      <c r="B38" s="1"/>
      <c r="C38" s="1"/>
      <c r="D38" s="2"/>
      <c r="E38" s="6"/>
      <c r="F38" s="1"/>
      <c r="G38" s="6"/>
      <c r="H38" s="1"/>
      <c r="I38" s="3"/>
      <c r="J38" s="1"/>
      <c r="K38" s="1"/>
      <c r="L38" s="1"/>
      <c r="M38" s="1"/>
      <c r="N38" s="2"/>
      <c r="O38" s="1"/>
      <c r="P38" s="1"/>
      <c r="Q38" s="2"/>
      <c r="R38" s="1"/>
      <c r="S38" s="1"/>
      <c r="T38" s="1"/>
      <c r="U38" s="2"/>
      <c r="V38" s="1"/>
      <c r="W38" s="2"/>
      <c r="X38" s="1"/>
      <c r="Y38" s="1"/>
      <c r="Z38" s="31"/>
      <c r="AA38" s="31"/>
      <c r="AB38" s="31"/>
      <c r="AC38" s="31"/>
      <c r="AD38" s="31"/>
      <c r="AE38" s="2"/>
      <c r="AF38" s="2"/>
      <c r="AG38" s="2"/>
      <c r="AH38" s="2"/>
      <c r="AI38" s="2"/>
      <c r="AJ38" s="2"/>
      <c r="AK38" s="2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>
      <c r="A39" s="1"/>
      <c r="B39" s="1"/>
      <c r="C39" s="1"/>
      <c r="D39" s="2"/>
      <c r="E39" s="6"/>
      <c r="F39" s="1"/>
      <c r="G39" s="6"/>
      <c r="H39" s="1"/>
      <c r="I39" s="3"/>
      <c r="J39" s="1"/>
      <c r="K39" s="1"/>
      <c r="L39" s="1"/>
      <c r="M39" s="1"/>
      <c r="N39" s="2"/>
      <c r="O39" s="1"/>
      <c r="P39" s="1"/>
      <c r="Q39" s="2"/>
      <c r="R39" s="1"/>
      <c r="S39" s="1"/>
      <c r="T39" s="1"/>
      <c r="U39" s="1"/>
      <c r="V39" s="1"/>
      <c r="W39" s="2"/>
      <c r="X39" s="1"/>
      <c r="Y39" s="1"/>
      <c r="Z39" s="31"/>
      <c r="AA39" s="31"/>
      <c r="AB39" s="31"/>
      <c r="AC39" s="31"/>
      <c r="AD39" s="31"/>
      <c r="AE39" s="2"/>
      <c r="AF39" s="2"/>
      <c r="AG39" s="2"/>
      <c r="AH39" s="2"/>
      <c r="AI39" s="2"/>
      <c r="AJ39" s="2"/>
      <c r="AK39" s="2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>
      <c r="A40" s="1"/>
      <c r="B40" s="1"/>
      <c r="C40" s="1"/>
      <c r="D40" s="2"/>
      <c r="E40" s="6"/>
      <c r="F40" s="1"/>
      <c r="G40" s="6"/>
      <c r="H40" s="22"/>
      <c r="I40" s="3"/>
      <c r="J40" s="1"/>
      <c r="K40" s="22"/>
      <c r="L40" s="1"/>
      <c r="M40" s="1"/>
      <c r="N40" s="2"/>
      <c r="O40" s="1"/>
      <c r="P40" s="1"/>
      <c r="Q40" s="2"/>
      <c r="R40" s="1"/>
      <c r="S40" s="1"/>
      <c r="T40" s="1"/>
      <c r="U40" s="2"/>
      <c r="V40" s="1"/>
      <c r="W40" s="2"/>
      <c r="X40" s="1"/>
      <c r="Y40" s="1"/>
      <c r="Z40" s="31"/>
      <c r="AA40" s="31"/>
      <c r="AB40" s="31"/>
      <c r="AC40" s="31"/>
      <c r="AD40" s="31"/>
      <c r="AE40" s="2"/>
      <c r="AF40" s="2"/>
      <c r="AG40" s="2"/>
      <c r="AH40" s="2"/>
      <c r="AI40" s="2"/>
      <c r="AJ40" s="2"/>
      <c r="AK40" s="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>
      <c r="A41" s="8"/>
      <c r="B41" s="8"/>
      <c r="C41" s="11"/>
      <c r="D41" s="8"/>
      <c r="E41" s="9"/>
      <c r="F41" s="11"/>
      <c r="G41" s="9"/>
      <c r="H41" s="11"/>
      <c r="I41" s="10"/>
      <c r="J41" s="8"/>
      <c r="K41" s="8"/>
      <c r="L41" s="8"/>
      <c r="M41" s="8"/>
      <c r="N41" s="11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>
      <c r="A42" s="1"/>
      <c r="B42" s="1"/>
      <c r="C42" s="1"/>
      <c r="D42" s="1"/>
      <c r="E42" s="6"/>
      <c r="F42" s="1"/>
      <c r="G42" s="6"/>
      <c r="H42" s="1"/>
      <c r="I42" s="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>
      <c r="A43" s="1"/>
      <c r="B43" s="1"/>
      <c r="C43" s="1"/>
      <c r="D43" s="1"/>
      <c r="E43" s="6"/>
      <c r="F43" s="1"/>
      <c r="G43" s="6"/>
      <c r="H43" s="1"/>
      <c r="I43" s="3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</row>
    <row r="44" spans="1:52">
      <c r="A44" s="1"/>
      <c r="B44" s="1"/>
      <c r="C44" s="1"/>
      <c r="D44" s="1"/>
      <c r="E44" s="6"/>
      <c r="F44" s="1"/>
      <c r="G44" s="6"/>
      <c r="H44" s="1"/>
      <c r="I44" s="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</row>
    <row r="45" spans="1:52">
      <c r="A45" s="8"/>
      <c r="B45" s="8"/>
      <c r="C45" s="11"/>
      <c r="D45" s="8"/>
      <c r="E45" s="9"/>
      <c r="F45" s="11"/>
      <c r="G45" s="9"/>
      <c r="H45" s="8"/>
      <c r="I45" s="10"/>
      <c r="J45" s="8"/>
      <c r="K45" s="8"/>
      <c r="L45" s="8"/>
      <c r="M45" s="8"/>
      <c r="N45" s="11"/>
      <c r="O45" s="8"/>
      <c r="P45" s="8"/>
      <c r="Q45" s="11"/>
      <c r="R45" s="8"/>
      <c r="S45" s="8"/>
      <c r="T45" s="8"/>
      <c r="U45" s="8"/>
      <c r="V45" s="8"/>
      <c r="W45" s="8"/>
      <c r="X45" s="8"/>
      <c r="Y45" s="8"/>
      <c r="Z45" s="1"/>
      <c r="AA45" s="1"/>
      <c r="AB45" s="1"/>
      <c r="AC45" s="1"/>
      <c r="AD45" s="1"/>
      <c r="AE45" s="12"/>
      <c r="AF45" s="12"/>
      <c r="AG45" s="12"/>
      <c r="AH45" s="12"/>
      <c r="AI45" s="12"/>
      <c r="AJ45" s="1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>
      <c r="A46" s="8"/>
      <c r="B46" s="8"/>
      <c r="C46" s="11"/>
      <c r="D46" s="8"/>
      <c r="E46" s="9"/>
      <c r="F46" s="11"/>
      <c r="G46" s="9"/>
      <c r="H46" s="8"/>
      <c r="I46" s="10"/>
      <c r="J46" s="8"/>
      <c r="K46" s="8"/>
      <c r="L46" s="8"/>
      <c r="M46" s="8"/>
      <c r="N46" s="11"/>
      <c r="O46" s="8"/>
      <c r="P46" s="8"/>
      <c r="Q46" s="11"/>
      <c r="R46" s="8"/>
      <c r="S46" s="8"/>
      <c r="T46" s="8"/>
      <c r="U46" s="8"/>
      <c r="V46" s="8"/>
      <c r="W46" s="8"/>
      <c r="X46" s="8"/>
      <c r="Y46" s="8"/>
      <c r="Z46" s="1"/>
      <c r="AA46" s="1"/>
      <c r="AB46" s="1"/>
      <c r="AC46" s="1"/>
      <c r="AD46" s="1"/>
      <c r="AE46" s="12"/>
      <c r="AF46" s="12"/>
      <c r="AG46" s="12"/>
      <c r="AH46" s="12"/>
      <c r="AI46" s="12"/>
      <c r="AJ46" s="12"/>
      <c r="AK46" s="22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>
      <c r="A47" s="8"/>
      <c r="B47" s="8"/>
      <c r="C47" s="11"/>
      <c r="D47" s="8"/>
      <c r="E47" s="9"/>
      <c r="F47" s="11"/>
      <c r="G47" s="9"/>
      <c r="H47" s="8"/>
      <c r="I47" s="10"/>
      <c r="J47" s="8"/>
      <c r="K47" s="8"/>
      <c r="L47" s="8"/>
      <c r="M47" s="8"/>
      <c r="N47" s="11"/>
      <c r="O47" s="8"/>
      <c r="P47" s="8"/>
      <c r="Q47" s="11"/>
      <c r="R47" s="8"/>
      <c r="S47" s="8"/>
      <c r="T47" s="8"/>
      <c r="U47" s="8"/>
      <c r="V47" s="8"/>
      <c r="W47" s="8"/>
      <c r="X47" s="8"/>
      <c r="Y47" s="8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22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>
      <c r="A48" s="12"/>
      <c r="B48" s="12"/>
      <c r="C48" s="15"/>
      <c r="D48" s="12"/>
      <c r="E48" s="13"/>
      <c r="F48" s="15"/>
      <c r="G48" s="13"/>
      <c r="H48" s="15"/>
      <c r="I48" s="14"/>
      <c r="J48" s="12"/>
      <c r="K48" s="12"/>
      <c r="L48" s="12"/>
      <c r="M48" s="12"/>
      <c r="N48" s="15"/>
      <c r="O48" s="12"/>
      <c r="P48" s="12"/>
      <c r="Q48" s="15"/>
      <c r="R48" s="12"/>
      <c r="S48" s="12"/>
      <c r="T48" s="12"/>
      <c r="U48" s="12"/>
      <c r="V48" s="12"/>
      <c r="W48" s="12"/>
      <c r="X48" s="12"/>
      <c r="Y48" s="12"/>
      <c r="Z48" s="8"/>
      <c r="AA48" s="8"/>
      <c r="AB48" s="8"/>
      <c r="AC48" s="8"/>
      <c r="AD48" s="8"/>
      <c r="AE48" s="7"/>
      <c r="AF48" s="7"/>
      <c r="AG48" s="7"/>
      <c r="AH48" s="7"/>
      <c r="AI48" s="7"/>
      <c r="AJ48" s="7"/>
      <c r="AK48" s="22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>
      <c r="A49" s="12"/>
      <c r="B49" s="15"/>
      <c r="C49" s="15"/>
      <c r="D49" s="12"/>
      <c r="E49" s="13"/>
      <c r="F49" s="15"/>
      <c r="G49" s="13"/>
      <c r="H49" s="12"/>
      <c r="I49" s="14"/>
      <c r="J49" s="12"/>
      <c r="K49" s="12"/>
      <c r="L49" s="12"/>
      <c r="M49" s="12"/>
      <c r="N49" s="15"/>
      <c r="O49" s="12"/>
      <c r="P49" s="12"/>
      <c r="Q49" s="15"/>
      <c r="R49" s="12"/>
      <c r="S49" s="12"/>
      <c r="T49" s="12"/>
      <c r="U49" s="12"/>
      <c r="V49" s="12"/>
      <c r="W49" s="12"/>
      <c r="X49" s="12"/>
      <c r="Y49" s="12"/>
      <c r="Z49" s="1"/>
      <c r="AA49" s="1"/>
      <c r="AB49" s="1"/>
      <c r="AC49" s="1"/>
      <c r="AD49" s="1"/>
      <c r="AE49" s="12"/>
      <c r="AF49" s="12"/>
      <c r="AG49" s="12"/>
      <c r="AH49" s="12"/>
      <c r="AI49" s="12"/>
      <c r="AJ49" s="12"/>
      <c r="AK49" s="22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>
      <c r="A50" s="12"/>
      <c r="B50" s="15"/>
      <c r="C50" s="15"/>
      <c r="D50" s="12"/>
      <c r="E50" s="13"/>
      <c r="F50" s="15"/>
      <c r="G50" s="13"/>
      <c r="H50" s="12"/>
      <c r="I50" s="14"/>
      <c r="J50" s="12"/>
      <c r="K50" s="12"/>
      <c r="L50" s="12"/>
      <c r="M50" s="12"/>
      <c r="N50" s="15"/>
      <c r="O50" s="12"/>
      <c r="P50" s="12"/>
      <c r="Q50" s="15"/>
      <c r="R50" s="12"/>
      <c r="S50" s="12"/>
      <c r="T50" s="12"/>
      <c r="U50" s="12"/>
      <c r="V50" s="12"/>
      <c r="W50" s="12"/>
      <c r="X50" s="12"/>
      <c r="Y50" s="12"/>
      <c r="Z50" s="1"/>
      <c r="AA50" s="1"/>
      <c r="AB50" s="1"/>
      <c r="AC50" s="1"/>
      <c r="AD50" s="1"/>
      <c r="AE50" s="7"/>
      <c r="AF50" s="7"/>
      <c r="AG50" s="7"/>
      <c r="AH50" s="7"/>
      <c r="AI50" s="7"/>
      <c r="AJ50" s="7"/>
      <c r="AK50" s="22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>
      <c r="A51" s="12"/>
      <c r="B51" s="15"/>
      <c r="C51" s="15"/>
      <c r="D51" s="12"/>
      <c r="E51" s="13"/>
      <c r="F51" s="15"/>
      <c r="G51" s="13"/>
      <c r="H51" s="12"/>
      <c r="I51" s="14"/>
      <c r="J51" s="12"/>
      <c r="K51" s="12"/>
      <c r="L51" s="12"/>
      <c r="M51" s="12"/>
      <c r="N51" s="15"/>
      <c r="O51" s="12"/>
      <c r="P51" s="12"/>
      <c r="Q51" s="15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7"/>
      <c r="AF51" s="7"/>
      <c r="AG51" s="7"/>
      <c r="AH51" s="7"/>
      <c r="AI51" s="7"/>
      <c r="AJ51" s="7"/>
      <c r="AK51" s="22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>
      <c r="A52" s="12"/>
      <c r="B52" s="12"/>
      <c r="C52" s="15"/>
      <c r="D52" s="12"/>
      <c r="E52" s="13"/>
      <c r="F52" s="15"/>
      <c r="G52" s="13"/>
      <c r="H52" s="12"/>
      <c r="I52" s="14"/>
      <c r="J52" s="12"/>
      <c r="K52" s="12"/>
      <c r="L52" s="12"/>
      <c r="M52" s="12"/>
      <c r="N52" s="15"/>
      <c r="O52" s="12"/>
      <c r="P52" s="12"/>
      <c r="Q52" s="15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22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>
      <c r="A53" s="12"/>
      <c r="B53" s="12"/>
      <c r="C53" s="15"/>
      <c r="D53" s="12"/>
      <c r="E53" s="13"/>
      <c r="F53" s="15"/>
      <c r="G53" s="13"/>
      <c r="H53" s="12"/>
      <c r="I53" s="14"/>
      <c r="J53" s="12"/>
      <c r="K53" s="12"/>
      <c r="L53" s="12"/>
      <c r="M53" s="12"/>
      <c r="N53" s="15"/>
      <c r="O53" s="12"/>
      <c r="P53" s="12"/>
      <c r="Q53" s="15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22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>
      <c r="A54" s="12"/>
      <c r="B54" s="12"/>
      <c r="C54" s="15"/>
      <c r="D54" s="12"/>
      <c r="E54" s="13"/>
      <c r="F54" s="15"/>
      <c r="G54" s="13"/>
      <c r="H54" s="15"/>
      <c r="I54" s="14"/>
      <c r="J54" s="12"/>
      <c r="K54" s="12"/>
      <c r="L54" s="12"/>
      <c r="M54" s="12"/>
      <c r="N54" s="15"/>
      <c r="O54" s="12"/>
      <c r="P54" s="12"/>
      <c r="Q54" s="15"/>
      <c r="R54" s="12"/>
      <c r="S54" s="12"/>
      <c r="T54" s="12"/>
      <c r="U54" s="12"/>
      <c r="V54" s="12"/>
      <c r="W54" s="12"/>
      <c r="X54" s="12"/>
      <c r="Y54" s="12"/>
      <c r="Z54" s="8"/>
      <c r="AA54" s="8"/>
      <c r="AB54" s="8"/>
      <c r="AC54" s="8"/>
      <c r="AD54" s="8"/>
      <c r="AE54" s="12"/>
      <c r="AF54" s="12"/>
      <c r="AG54" s="12"/>
      <c r="AH54" s="12"/>
      <c r="AI54" s="12"/>
      <c r="AJ54" s="12"/>
      <c r="AK54" s="22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>
      <c r="A55" s="12"/>
      <c r="B55" s="12"/>
      <c r="C55" s="15"/>
      <c r="D55" s="12"/>
      <c r="E55" s="13"/>
      <c r="F55" s="15"/>
      <c r="G55" s="13"/>
      <c r="H55" s="15"/>
      <c r="I55" s="14"/>
      <c r="J55" s="12"/>
      <c r="K55" s="12"/>
      <c r="L55" s="12"/>
      <c r="M55" s="12"/>
      <c r="N55" s="15"/>
      <c r="O55" s="12"/>
      <c r="P55" s="12"/>
      <c r="Q55" s="15"/>
      <c r="R55" s="12"/>
      <c r="S55" s="12"/>
      <c r="T55" s="12"/>
      <c r="U55" s="12"/>
      <c r="V55" s="12"/>
      <c r="W55" s="12"/>
      <c r="X55" s="12"/>
      <c r="Y55" s="12"/>
      <c r="Z55" s="8"/>
      <c r="AA55" s="8"/>
      <c r="AB55" s="8"/>
      <c r="AC55" s="8"/>
      <c r="AD55" s="8"/>
      <c r="AE55" s="1"/>
      <c r="AF55" s="1"/>
      <c r="AG55" s="1"/>
      <c r="AH55" s="1"/>
      <c r="AI55" s="1"/>
      <c r="AJ55" s="1"/>
      <c r="AK55" s="22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</row>
    <row r="56" spans="1:52">
      <c r="A56" s="8"/>
      <c r="B56" s="8"/>
      <c r="C56" s="11"/>
      <c r="D56" s="8"/>
      <c r="E56" s="9"/>
      <c r="F56" s="11"/>
      <c r="G56" s="9"/>
      <c r="H56" s="8"/>
      <c r="I56" s="10"/>
      <c r="J56" s="8"/>
      <c r="K56" s="8"/>
      <c r="L56" s="8"/>
      <c r="M56" s="8"/>
      <c r="N56" s="11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22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>
      <c r="A57" s="8"/>
      <c r="B57" s="8"/>
      <c r="C57" s="11"/>
      <c r="D57" s="8"/>
      <c r="E57" s="9"/>
      <c r="F57" s="11"/>
      <c r="G57" s="9"/>
      <c r="H57" s="8"/>
      <c r="I57" s="10"/>
      <c r="J57" s="8"/>
      <c r="K57" s="8"/>
      <c r="L57" s="8"/>
      <c r="M57" s="8"/>
      <c r="N57" s="11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2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</row>
    <row r="58" spans="1:52">
      <c r="A58" s="1"/>
      <c r="B58" s="1"/>
      <c r="C58" s="2"/>
      <c r="D58" s="1"/>
      <c r="E58" s="6"/>
      <c r="F58" s="1"/>
      <c r="G58" s="6"/>
      <c r="H58" s="1"/>
      <c r="I58" s="3"/>
      <c r="J58" s="1"/>
      <c r="K58" s="1"/>
      <c r="L58" s="1"/>
      <c r="M58" s="1"/>
      <c r="N58" s="2"/>
      <c r="O58" s="1"/>
      <c r="P58" s="1"/>
      <c r="Q58" s="2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22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>
      <c r="A59" s="1"/>
      <c r="B59" s="1"/>
      <c r="C59" s="2"/>
      <c r="D59" s="1"/>
      <c r="E59" s="6"/>
      <c r="F59" s="1"/>
      <c r="G59" s="6"/>
      <c r="H59" s="1"/>
      <c r="I59" s="3"/>
      <c r="J59" s="1"/>
      <c r="K59" s="1"/>
      <c r="L59" s="1"/>
      <c r="M59" s="1"/>
      <c r="N59" s="2"/>
      <c r="O59" s="1"/>
      <c r="P59" s="1"/>
      <c r="Q59" s="2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22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>
      <c r="A60" s="1"/>
      <c r="B60" s="1"/>
      <c r="C60" s="2"/>
      <c r="D60" s="1"/>
      <c r="E60" s="6"/>
      <c r="F60" s="1"/>
      <c r="G60" s="6"/>
      <c r="H60" s="1"/>
      <c r="I60" s="3"/>
      <c r="J60" s="1"/>
      <c r="K60" s="1"/>
      <c r="L60" s="1"/>
      <c r="M60" s="1"/>
      <c r="N60" s="2"/>
      <c r="O60" s="1"/>
      <c r="P60" s="1"/>
      <c r="Q60" s="2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22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>
      <c r="A61" s="1"/>
      <c r="B61" s="1"/>
      <c r="C61" s="1"/>
      <c r="D61" s="1"/>
      <c r="E61" s="6"/>
      <c r="F61" s="1"/>
      <c r="G61" s="6"/>
      <c r="H61" s="1"/>
      <c r="I61" s="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>
      <c r="A62" s="1"/>
      <c r="B62" s="1"/>
      <c r="C62" s="1"/>
      <c r="D62" s="1"/>
      <c r="E62" s="6"/>
      <c r="F62" s="37"/>
      <c r="G62" s="6"/>
      <c r="H62" s="1"/>
      <c r="I62" s="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</sheetData>
  <sortState xmlns:xlrd2="http://schemas.microsoft.com/office/spreadsheetml/2017/richdata2" ref="A2:AK62">
    <sortCondition descending="1" ref="D2:D62"/>
    <sortCondition descending="1" ref="AH2:AH62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B1879-568D-46B6-AD51-A598BFF427A2}">
  <dimension ref="A1:A41"/>
  <sheetViews>
    <sheetView workbookViewId="0">
      <selection activeCell="A11" sqref="A11"/>
    </sheetView>
  </sheetViews>
  <sheetFormatPr defaultRowHeight="15.75"/>
  <sheetData>
    <row r="1" spans="1:1">
      <c r="A1" s="1" t="s">
        <v>275</v>
      </c>
    </row>
    <row r="2" spans="1:1">
      <c r="A2" s="2"/>
    </row>
    <row r="3" spans="1:1">
      <c r="A3" s="1"/>
    </row>
    <row r="4" spans="1:1">
      <c r="A4" s="1"/>
    </row>
    <row r="5" spans="1:1">
      <c r="A5" s="2"/>
    </row>
    <row r="6" spans="1:1">
      <c r="A6" s="1"/>
    </row>
    <row r="7" spans="1:1">
      <c r="A7" s="2"/>
    </row>
    <row r="8" spans="1:1">
      <c r="A8" s="1"/>
    </row>
    <row r="9" spans="1:1">
      <c r="A9" s="2"/>
    </row>
    <row r="10" spans="1:1">
      <c r="A10" s="1"/>
    </row>
    <row r="11" spans="1:1">
      <c r="A11" s="2"/>
    </row>
    <row r="12" spans="1:1">
      <c r="A12" s="1"/>
    </row>
    <row r="13" spans="1:1">
      <c r="A13" s="1"/>
    </row>
    <row r="14" spans="1:1">
      <c r="A14" s="2"/>
    </row>
    <row r="15" spans="1:1">
      <c r="A15" s="2"/>
    </row>
    <row r="16" spans="1:1">
      <c r="A16" s="1"/>
    </row>
    <row r="17" spans="1:1">
      <c r="A17" s="1"/>
    </row>
    <row r="18" spans="1:1">
      <c r="A18" s="2"/>
    </row>
    <row r="19" spans="1:1">
      <c r="A19" s="1"/>
    </row>
    <row r="20" spans="1:1">
      <c r="A20" s="1"/>
    </row>
    <row r="21" spans="1:1">
      <c r="A21" s="2"/>
    </row>
    <row r="22" spans="1:1">
      <c r="A22" s="2"/>
    </row>
    <row r="23" spans="1:1">
      <c r="A23" s="1"/>
    </row>
    <row r="24" spans="1:1">
      <c r="A24" s="1"/>
    </row>
    <row r="25" spans="1:1">
      <c r="A25" s="1"/>
    </row>
    <row r="26" spans="1:1">
      <c r="A26" s="2"/>
    </row>
    <row r="27" spans="1:1">
      <c r="A27" s="2"/>
    </row>
    <row r="28" spans="1:1">
      <c r="A28" s="1"/>
    </row>
    <row r="29" spans="1:1">
      <c r="A29" s="2"/>
    </row>
    <row r="30" spans="1:1">
      <c r="A30" s="1"/>
    </row>
    <row r="31" spans="1:1">
      <c r="A31" s="1"/>
    </row>
    <row r="32" spans="1:1">
      <c r="A32" s="2"/>
    </row>
    <row r="33" spans="1:1">
      <c r="A33" s="2"/>
    </row>
    <row r="34" spans="1:1">
      <c r="A34" s="2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5B93F-5892-4CF6-940F-E77D34DEAAE5}">
  <dimension ref="B1:J43"/>
  <sheetViews>
    <sheetView workbookViewId="0">
      <selection activeCell="K15" sqref="K15"/>
    </sheetView>
  </sheetViews>
  <sheetFormatPr defaultRowHeight="15.75"/>
  <sheetData>
    <row r="1" spans="2:10" ht="63">
      <c r="C1" s="1" t="s">
        <v>25</v>
      </c>
      <c r="D1" s="1" t="s">
        <v>26</v>
      </c>
      <c r="E1" s="1" t="s">
        <v>26</v>
      </c>
    </row>
    <row r="2" spans="2:10">
      <c r="B2" s="2" t="s">
        <v>166</v>
      </c>
      <c r="C2" s="1" t="s">
        <v>276</v>
      </c>
      <c r="D2" s="38">
        <v>3.5000000000000001E-3</v>
      </c>
      <c r="E2" s="1" t="s">
        <v>277</v>
      </c>
      <c r="G2" s="2" t="s">
        <v>278</v>
      </c>
      <c r="H2" s="1">
        <f>64944/84357*100</f>
        <v>76.987090579323592</v>
      </c>
      <c r="I2" s="1">
        <f>117/84357*100</f>
        <v>0.13869625520110956</v>
      </c>
      <c r="J2" s="1">
        <f>117/6494*100</f>
        <v>1.8016630736064059</v>
      </c>
    </row>
    <row r="3" spans="2:10">
      <c r="B3" s="1" t="s">
        <v>166</v>
      </c>
      <c r="C3" s="1" t="s">
        <v>279</v>
      </c>
      <c r="D3" s="1" t="s">
        <v>280</v>
      </c>
      <c r="E3" s="1" t="s">
        <v>281</v>
      </c>
      <c r="G3" s="2" t="s">
        <v>278</v>
      </c>
      <c r="H3" s="1">
        <f>46348/65208*100</f>
        <v>71.077168445589507</v>
      </c>
      <c r="I3" s="1">
        <f>1082/65208*100</f>
        <v>1.6593056066740279</v>
      </c>
      <c r="J3" s="1">
        <f>1082/46348*100</f>
        <v>2.3345128160869941</v>
      </c>
    </row>
    <row r="4" spans="2:10">
      <c r="B4" s="1" t="s">
        <v>166</v>
      </c>
      <c r="C4" s="1" t="s">
        <v>282</v>
      </c>
      <c r="D4" s="1">
        <f>72/10818*100</f>
        <v>0.66555740432612309</v>
      </c>
      <c r="E4" s="1">
        <v>1.0900000000000001</v>
      </c>
      <c r="G4" s="2" t="s">
        <v>278</v>
      </c>
      <c r="H4" s="1">
        <f>6963/15213*100</f>
        <v>45.770065075921906</v>
      </c>
      <c r="I4" s="1">
        <f>165/15213*100</f>
        <v>1.0845986984815619</v>
      </c>
      <c r="J4" s="1">
        <f>165/6963*100</f>
        <v>2.3696682464454977</v>
      </c>
    </row>
    <row r="5" spans="2:10">
      <c r="B5" s="1" t="s">
        <v>166</v>
      </c>
      <c r="C5" s="1" t="s">
        <v>283</v>
      </c>
      <c r="D5" s="1">
        <f>864/61042*100</f>
        <v>1.415418891910488</v>
      </c>
      <c r="E5" s="1">
        <v>2.4500000000000002</v>
      </c>
      <c r="G5" s="2" t="s">
        <v>278</v>
      </c>
      <c r="H5" s="1">
        <f>15588/26870*100</f>
        <v>58.012653516933391</v>
      </c>
      <c r="I5" s="1">
        <f>428/26870*100</f>
        <v>1.5928544845552661</v>
      </c>
      <c r="J5" s="1">
        <f>428/15588*100</f>
        <v>2.745701821914293</v>
      </c>
    </row>
    <row r="6" spans="2:10">
      <c r="B6" s="1" t="s">
        <v>166</v>
      </c>
      <c r="C6" s="1">
        <f>78792/204871*100</f>
        <v>38.459323183857158</v>
      </c>
      <c r="D6" s="1">
        <f>1994/204871*100</f>
        <v>0.97329539075808669</v>
      </c>
      <c r="E6" s="1">
        <v>2.5299999999999998</v>
      </c>
      <c r="G6" s="1" t="s">
        <v>278</v>
      </c>
      <c r="H6" s="1" t="s">
        <v>284</v>
      </c>
      <c r="I6" s="1" t="s">
        <v>285</v>
      </c>
      <c r="J6" s="1" t="s">
        <v>286</v>
      </c>
    </row>
    <row r="7" spans="2:10">
      <c r="B7" s="1" t="s">
        <v>166</v>
      </c>
      <c r="C7" s="1">
        <f>20314/32406*100</f>
        <v>62.685922360056779</v>
      </c>
      <c r="D7" s="1">
        <f>769/32406*100</f>
        <v>2.3730173424674441</v>
      </c>
      <c r="E7" s="1">
        <f>769/20314*100</f>
        <v>3.7855666043122969</v>
      </c>
      <c r="G7" s="1" t="s">
        <v>278</v>
      </c>
      <c r="H7" s="1" t="s">
        <v>287</v>
      </c>
      <c r="I7" s="1" t="s">
        <v>288</v>
      </c>
      <c r="J7" s="1" t="s">
        <v>289</v>
      </c>
    </row>
    <row r="8" spans="2:10">
      <c r="B8" s="1" t="s">
        <v>166</v>
      </c>
      <c r="C8" s="1">
        <f>13536/28134*100</f>
        <v>48.112603966730646</v>
      </c>
      <c r="D8" s="1">
        <f>763/28134*100</f>
        <v>2.7120210421553992</v>
      </c>
      <c r="E8" s="1">
        <f>763/13536*100</f>
        <v>5.6368203309692673</v>
      </c>
      <c r="G8" s="1" t="s">
        <v>278</v>
      </c>
      <c r="H8" s="1" t="s">
        <v>290</v>
      </c>
      <c r="I8" s="1">
        <f>91/5741*100</f>
        <v>1.5850897056261977</v>
      </c>
      <c r="J8" s="1">
        <v>4.43</v>
      </c>
    </row>
    <row r="9" spans="2:10">
      <c r="B9" s="1" t="s">
        <v>166</v>
      </c>
      <c r="C9" s="1">
        <f>23495/54045*100</f>
        <v>43.473031732815251</v>
      </c>
      <c r="D9" s="1">
        <f>2307/54045*100</f>
        <v>4.2686650013877321</v>
      </c>
      <c r="E9" s="1">
        <f>2307/23495*100</f>
        <v>9.8191104490317098</v>
      </c>
      <c r="G9" s="1" t="s">
        <v>278</v>
      </c>
      <c r="H9" s="1">
        <f>9091/12910*100</f>
        <v>70.41828040278854</v>
      </c>
      <c r="I9" s="1">
        <f>1331/12910*100</f>
        <v>10.309837335398916</v>
      </c>
      <c r="J9" s="1">
        <v>14.6</v>
      </c>
    </row>
    <row r="10" spans="2:10">
      <c r="B10" s="1" t="s">
        <v>166</v>
      </c>
      <c r="C10" s="1">
        <f>17086/37572*100</f>
        <v>45.475353987011601</v>
      </c>
      <c r="D10" s="1">
        <f>534/37572*100</f>
        <v>1.4212711593740019</v>
      </c>
      <c r="E10" s="1">
        <f>534/17086*100</f>
        <v>3.1253657965585857</v>
      </c>
      <c r="G10" s="1" t="s">
        <v>278</v>
      </c>
      <c r="H10" s="1" t="s">
        <v>291</v>
      </c>
      <c r="I10" s="1" t="s">
        <v>292</v>
      </c>
      <c r="J10" s="1" t="s">
        <v>293</v>
      </c>
    </row>
    <row r="11" spans="2:10">
      <c r="B11" s="2" t="s">
        <v>166</v>
      </c>
      <c r="C11" s="2">
        <f>39220/91458*100</f>
        <v>42.883072011196397</v>
      </c>
      <c r="D11" s="1">
        <f>1118/91458*100</f>
        <v>1.2224190338734719</v>
      </c>
      <c r="E11" s="1">
        <f>1118/39220*100</f>
        <v>2.850586435492096</v>
      </c>
      <c r="G11" s="1" t="s">
        <v>278</v>
      </c>
      <c r="H11" s="1" t="s">
        <v>294</v>
      </c>
      <c r="I11" s="1" t="s">
        <v>295</v>
      </c>
      <c r="J11" s="1" t="s">
        <v>296</v>
      </c>
    </row>
    <row r="12" spans="2:10">
      <c r="B12" s="2" t="s">
        <v>166</v>
      </c>
      <c r="C12" s="2">
        <f>14549/24481*100</f>
        <v>59.429761856133325</v>
      </c>
      <c r="D12" s="1">
        <f>1097/24481*100</f>
        <v>4.4810261018749236</v>
      </c>
      <c r="E12" s="1">
        <f>1097/14549*100</f>
        <v>7.5400371159529866</v>
      </c>
      <c r="G12" s="1" t="s">
        <v>278</v>
      </c>
      <c r="H12" s="1">
        <f>111507/183081*100</f>
        <v>60.905828567683152</v>
      </c>
      <c r="I12" s="1">
        <f>10942/183081*100</f>
        <v>5.9765895969543532</v>
      </c>
      <c r="J12" s="1">
        <f>9.81</f>
        <v>9.81</v>
      </c>
    </row>
    <row r="13" spans="2:10">
      <c r="B13" s="2" t="s">
        <v>166</v>
      </c>
      <c r="C13" s="2">
        <f>12202/21523*100</f>
        <v>56.692840217441812</v>
      </c>
      <c r="D13" s="1">
        <f>3083/21523*100</f>
        <v>14.324211308832414</v>
      </c>
      <c r="E13" s="1">
        <f>3083/12202*100</f>
        <v>25.266349778724802</v>
      </c>
      <c r="G13" s="1" t="s">
        <v>48</v>
      </c>
      <c r="H13" s="1">
        <f>24592/35039*100</f>
        <v>70.184651388452863</v>
      </c>
      <c r="I13" s="1">
        <f>771/35039*100</f>
        <v>2.2004052627072692</v>
      </c>
      <c r="J13" s="1">
        <f>771/24592*100</f>
        <v>3.1351659076122314</v>
      </c>
    </row>
    <row r="14" spans="2:10">
      <c r="B14" s="2" t="s">
        <v>166</v>
      </c>
      <c r="C14" s="2">
        <f>7179/19963*100</f>
        <v>35.961528828332419</v>
      </c>
      <c r="D14" s="1">
        <f>407/19963*100</f>
        <v>2.038771727696238</v>
      </c>
      <c r="E14" s="1">
        <f>407/7179*100</f>
        <v>5.6693132748293635</v>
      </c>
      <c r="G14" s="1" t="s">
        <v>48</v>
      </c>
      <c r="H14" s="1">
        <f>17543/24365*100</f>
        <v>72.000820849579313</v>
      </c>
      <c r="I14" s="1">
        <f>4377/24365*100</f>
        <v>17.964293043299815</v>
      </c>
      <c r="J14" s="1">
        <f>4377/17543*100</f>
        <v>24.950122556005244</v>
      </c>
    </row>
    <row r="15" spans="2:10">
      <c r="B15" s="2" t="s">
        <v>166</v>
      </c>
      <c r="C15" s="35">
        <f>19085/36324*100</f>
        <v>52.541019711485518</v>
      </c>
      <c r="D15" s="35">
        <f>6038/36324*100</f>
        <v>16.622618654333223</v>
      </c>
      <c r="E15" s="35">
        <f>6038/19085*100</f>
        <v>31.637411579774692</v>
      </c>
      <c r="G15" s="1" t="s">
        <v>48</v>
      </c>
      <c r="H15" s="1">
        <f>5376/11621*100</f>
        <v>46.261079080974099</v>
      </c>
      <c r="I15" s="1">
        <f>877/11621*100</f>
        <v>7.546682729541347</v>
      </c>
      <c r="J15" s="1">
        <f>877/5376*100</f>
        <v>16.313244047619047</v>
      </c>
    </row>
    <row r="16" spans="2:10">
      <c r="B16" s="1" t="s">
        <v>166</v>
      </c>
      <c r="C16" s="1">
        <f>18583/24395*100</f>
        <v>76.175445788071329</v>
      </c>
      <c r="D16" s="1">
        <f>2215/24395*100</f>
        <v>9.0797294527567125</v>
      </c>
      <c r="E16" s="1">
        <f>2215/18583*100</f>
        <v>11.919496313835227</v>
      </c>
      <c r="G16" s="2" t="s">
        <v>48</v>
      </c>
      <c r="H16" s="2">
        <f>145388/193922*100</f>
        <v>74.972411588164306</v>
      </c>
      <c r="I16" s="1">
        <f>1264/193922*100</f>
        <v>0.65180845907117291</v>
      </c>
      <c r="J16" s="1">
        <f>1264/145388*100</f>
        <v>0.86939774947038273</v>
      </c>
    </row>
    <row r="17" spans="2:10">
      <c r="B17" s="1" t="s">
        <v>166</v>
      </c>
      <c r="C17" s="1">
        <f>10733/24366*100</f>
        <v>44.04908479028154</v>
      </c>
      <c r="D17" s="1">
        <f>1060/24366*100</f>
        <v>4.3503242222769432</v>
      </c>
      <c r="E17" s="1">
        <f>1060/10733*100</f>
        <v>9.8760831081710609</v>
      </c>
      <c r="G17" s="2" t="s">
        <v>48</v>
      </c>
      <c r="H17" s="2">
        <f>55448/91632*100</f>
        <v>60.511611664047493</v>
      </c>
      <c r="I17" s="1">
        <f>2827/91632*100</f>
        <v>3.0851667539724117</v>
      </c>
      <c r="J17" s="1">
        <f>2827/55448*100</f>
        <v>5.0984706391574086</v>
      </c>
    </row>
    <row r="18" spans="2:10">
      <c r="B18" s="1" t="s">
        <v>166</v>
      </c>
      <c r="C18" s="1">
        <f>8589/18048*100</f>
        <v>47.589760638297875</v>
      </c>
      <c r="D18" s="1">
        <f>474/18048*100</f>
        <v>2.6263297872340425</v>
      </c>
      <c r="E18" s="1">
        <f>474/8589*100</f>
        <v>5.5186866922808244</v>
      </c>
      <c r="G18" s="2" t="s">
        <v>48</v>
      </c>
      <c r="H18" s="2">
        <f>14987/26761*100</f>
        <v>56.003138896154844</v>
      </c>
      <c r="I18" s="1">
        <f>2522/26761*100</f>
        <v>9.4241620268300874</v>
      </c>
      <c r="J18" s="1">
        <f>2522/14987*100</f>
        <v>16.827917528524722</v>
      </c>
    </row>
    <row r="19" spans="2:10">
      <c r="G19" s="2" t="s">
        <v>48</v>
      </c>
      <c r="H19" s="2">
        <f>7800/11918*100</f>
        <v>65.44722268837053</v>
      </c>
      <c r="I19" s="1">
        <f>1257/11918*100</f>
        <v>10.547071656318174</v>
      </c>
      <c r="J19" s="1">
        <f>1257/7800*100</f>
        <v>16.115384615384613</v>
      </c>
    </row>
    <row r="20" spans="2:10">
      <c r="G20" s="2" t="s">
        <v>48</v>
      </c>
      <c r="H20" s="34">
        <f>9711/16023*100</f>
        <v>60.606627972289829</v>
      </c>
      <c r="I20" s="35">
        <f>441/16023*100</f>
        <v>2.7522935779816518</v>
      </c>
      <c r="J20" s="35">
        <f>441/9711*100</f>
        <v>4.5412418906394807</v>
      </c>
    </row>
    <row r="21" spans="2:10">
      <c r="G21" s="2" t="s">
        <v>48</v>
      </c>
      <c r="H21" s="35">
        <f>9169/27253*100</f>
        <v>33.644002495138146</v>
      </c>
      <c r="I21" s="35">
        <f>701/27253*100</f>
        <v>2.5721938869115326</v>
      </c>
      <c r="J21" s="35">
        <f>701/9169*100</f>
        <v>7.6453266441269498</v>
      </c>
    </row>
    <row r="22" spans="2:10">
      <c r="G22" s="1" t="s">
        <v>48</v>
      </c>
      <c r="H22" s="1">
        <f>7256/14192*100</f>
        <v>51.127395715896284</v>
      </c>
      <c r="I22" s="1">
        <f>934/14192*100</f>
        <v>6.5811724915445318</v>
      </c>
      <c r="J22" s="1">
        <f>934/7256*100</f>
        <v>12.872105843439913</v>
      </c>
    </row>
    <row r="23" spans="2:10">
      <c r="G23" s="1" t="s">
        <v>48</v>
      </c>
      <c r="H23" s="1">
        <f>9711/15011*100</f>
        <v>64.692558790220502</v>
      </c>
      <c r="I23" s="1">
        <f>2462/15011*100</f>
        <v>16.401305709146627</v>
      </c>
      <c r="J23" s="1">
        <f>2462/9711*100</f>
        <v>25.352692822572344</v>
      </c>
    </row>
    <row r="24" spans="2:10">
      <c r="G24" s="1" t="s">
        <v>48</v>
      </c>
      <c r="H24" s="1">
        <f>14380/24339*100</f>
        <v>59.082131558404207</v>
      </c>
      <c r="I24" s="1">
        <f>3791/24339*100</f>
        <v>15.575824807921443</v>
      </c>
      <c r="J24" s="1">
        <f>3791/14380*100</f>
        <v>26.36300417246175</v>
      </c>
    </row>
    <row r="25" spans="2:10">
      <c r="G25" s="1" t="s">
        <v>48</v>
      </c>
      <c r="H25" s="1">
        <f>20838/34035*100</f>
        <v>61.225209343323051</v>
      </c>
      <c r="I25" s="1">
        <f>347/34035*100</f>
        <v>1.0195387101513149</v>
      </c>
      <c r="J25" s="1">
        <f>347/20838*100</f>
        <v>1.6652269891544293</v>
      </c>
    </row>
    <row r="35" spans="2:9">
      <c r="B35" s="1"/>
      <c r="C35" s="1"/>
      <c r="H35" s="1"/>
      <c r="I35" s="1"/>
    </row>
    <row r="36" spans="2:9">
      <c r="B36" s="1"/>
      <c r="C36" s="1"/>
    </row>
    <row r="37" spans="2:9">
      <c r="B37" s="1"/>
      <c r="C37" s="1"/>
    </row>
    <row r="38" spans="2:9">
      <c r="B38" s="1"/>
      <c r="C38" s="1"/>
    </row>
    <row r="39" spans="2:9">
      <c r="B39" s="1"/>
      <c r="C39" s="1"/>
    </row>
    <row r="40" spans="2:9">
      <c r="B40" s="1"/>
      <c r="C40" s="1"/>
    </row>
    <row r="41" spans="2:9">
      <c r="B41" s="1"/>
      <c r="C41" s="1"/>
    </row>
    <row r="42" spans="2:9">
      <c r="B42" s="1"/>
      <c r="C42" s="35"/>
    </row>
    <row r="43" spans="2:9">
      <c r="B43" s="1"/>
      <c r="C43" s="3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EA42B-1D5C-4364-ACA6-2B7992DB0007}">
  <dimension ref="B1:C7"/>
  <sheetViews>
    <sheetView workbookViewId="0">
      <selection activeCell="C4" sqref="C4"/>
    </sheetView>
  </sheetViews>
  <sheetFormatPr defaultRowHeight="15.75"/>
  <sheetData>
    <row r="1" spans="2:3">
      <c r="B1" t="s">
        <v>297</v>
      </c>
      <c r="C1" t="s">
        <v>58</v>
      </c>
    </row>
    <row r="2" spans="2:3">
      <c r="B2" s="1">
        <f>1257/11918*100</f>
        <v>10.547071656318174</v>
      </c>
      <c r="C2" s="1">
        <f>1264/193922*100</f>
        <v>0.65180845907117291</v>
      </c>
    </row>
    <row r="3" spans="2:3">
      <c r="B3" s="1">
        <f>877/11621*100</f>
        <v>7.546682729541347</v>
      </c>
      <c r="C3" s="1" t="s">
        <v>288</v>
      </c>
    </row>
    <row r="4" spans="2:3">
      <c r="B4" s="1" t="s">
        <v>285</v>
      </c>
      <c r="C4" s="35">
        <f>6038/36324*100</f>
        <v>16.622618654333223</v>
      </c>
    </row>
    <row r="5" spans="2:3">
      <c r="B5" s="1">
        <f>117/84357*100</f>
        <v>0.13869625520110956</v>
      </c>
    </row>
    <row r="6" spans="2:3">
      <c r="B6" s="1">
        <f>428/26870*100</f>
        <v>1.5928544845552661</v>
      </c>
    </row>
    <row r="7" spans="2:3">
      <c r="B7" s="1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Melissa Meyer</dc:creator>
  <cp:keywords/>
  <dc:description/>
  <cp:lastModifiedBy/>
  <cp:revision/>
  <dcterms:created xsi:type="dcterms:W3CDTF">2024-04-25T18:55:10Z</dcterms:created>
  <dcterms:modified xsi:type="dcterms:W3CDTF">2026-06-11T15:25:05Z</dcterms:modified>
  <cp:category/>
  <cp:contentStatus/>
</cp:coreProperties>
</file>